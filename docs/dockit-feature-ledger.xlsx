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9dcd8eb2d5441f" /></Relationships>
</file>

<file path=xl/workbook.xml><?xml version="1.0" encoding="utf-8"?>
<x:workbook xmlns:x="http://schemas.openxmlformats.org/spreadsheetml/2006/main">
  <x:sheets>
    <x:sheet xmlns:r="http://schemas.openxmlformats.org/officeDocument/2006/relationships" name="Stories" sheetId="1" r:id="R34fe4003ed384543"/>
    <x:sheet xmlns:r="http://schemas.openxmlformats.org/officeDocument/2006/relationships" name="Test runs" sheetId="2" r:id="R23762d4ba2b94f09"/>
    <x:sheet xmlns:r="http://schemas.openxmlformats.org/officeDocument/2006/relationships" name="Defects" sheetId="3" r:id="R09a23460fb894a89"/>
    <x:sheet xmlns:r="http://schemas.openxmlformats.org/officeDocument/2006/relationships" name="Decisions" sheetId="4" r:id="Rca4931bacd6c4d4f"/>
    <x:sheet xmlns:r="http://schemas.openxmlformats.org/officeDocument/2006/relationships" name="Evidence" sheetId="5" r:id="Rb8c18c6177c5495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9">
    <x:font>
      <x:sz val="11"/>
      <x:name val="Carlito"/>
    </x:font>
    <x:font>
      <x:b/>
      <x:sz val="16"/>
      <x:color rgb="FFFFFFFF"/>
      <x:name val="Carlito"/>
    </x:font>
    <x:font>
      <x:i/>
      <x:sz val="10"/>
      <x:color rgb="FF475569"/>
      <x:name val="Carlito"/>
    </x:font>
    <x:font>
      <x:b/>
      <x:sz val="11"/>
      <x:color rgb="FF16324F"/>
      <x:name val="Carlito"/>
    </x:font>
    <x:font>
      <x:i/>
      <x:sz val="9"/>
      <x:color rgb="FF92400E"/>
      <x:name val="Carlito"/>
    </x:font>
    <x:font>
      <x:b/>
      <x:sz val="10"/>
      <x:color rgb="FFFFFFFF"/>
      <x:name val="Carlito"/>
    </x:font>
    <x:font>
      <x:sz val="10"/>
      <x:color rgb="FF1F2937"/>
      <x:name val="Carlito"/>
    </x:font>
    <x:font>
      <x:b/>
      <x:sz val="10"/>
      <x:color rgb="FF16324F"/>
      <x:name val="Carlito"/>
    </x:font>
    <x:font>
      <x:b/>
      <x:sz val="10"/>
      <x:color rgb="FF1F2937"/>
      <x:name val="Carlito"/>
    </x:font>
  </x:fonts>
  <x:fills count="9">
    <x:fill>
      <x:patternFill patternType="none"/>
    </x:fill>
    <x:fill>
      <x:patternFill patternType="gray125"/>
    </x:fill>
    <x:fill>
      <x:patternFill patternType="solid">
        <x:fgColor rgb="FF16324F"/>
      </x:patternFill>
    </x:fill>
    <x:fill>
      <x:patternFill patternType="solid">
        <x:fgColor rgb="FFF5F7FA"/>
      </x:patternFill>
    </x:fill>
    <x:fill>
      <x:patternFill patternType="solid">
        <x:fgColor rgb="FFEAF2FF"/>
      </x:patternFill>
    </x:fill>
    <x:fill>
      <x:patternFill patternType="solid">
        <x:fgColor rgb="FFFEF3C7"/>
      </x:patternFill>
    </x:fill>
    <x:fill>
      <x:patternFill patternType="solid">
        <x:fgColor rgb="FF2563EB"/>
      </x:patternFill>
    </x:fill>
    <x:fill>
      <x:patternFill patternType="solid">
        <x:fgColor rgb="FFF5F7FA"/>
      </x:patternFill>
    </x:fill>
    <x:fill>
      <x:patternFill patternType="solid">
        <x:fgColor rgb="FF2563EB"/>
      </x:patternFill>
    </x:fill>
  </x:fills>
  <x:borders count="9">
    <x:border/>
    <x:border>
      <x:left style="thin">
        <x:color rgb="FFD7DEE7"/>
      </x:left>
      <x:top style="thin">
        <x:color rgb="FFD7DEE7"/>
      </x:top>
      <x:bottom style="thin">
        <x:color rgb="FFD7DEE7"/>
      </x:bottom>
    </x:border>
    <x:border>
      <x:top style="thin">
        <x:color rgb="FFD7DEE7"/>
      </x:top>
      <x:bottom style="thin">
        <x:color rgb="FFD7DEE7"/>
      </x:bottom>
    </x:border>
    <x:border>
      <x:right style="thin">
        <x:color rgb="FFD7DEE7"/>
      </x:right>
      <x:top style="thin">
        <x:color rgb="FFD7DEE7"/>
      </x:top>
      <x:bottom style="thin">
        <x:color rgb="FFD7DEE7"/>
      </x:bottom>
    </x:border>
    <x:border>
      <x:left style="thin">
        <x:color rgb="FF2563EB"/>
      </x:left>
      <x:top style="thin">
        <x:color rgb="FF2563EB"/>
      </x:top>
      <x:bottom style="thin">
        <x:color rgb="FF2563EB"/>
      </x:bottom>
    </x:border>
    <x:border>
      <x:top style="thin">
        <x:color rgb="FF2563EB"/>
      </x:top>
      <x:bottom style="thin">
        <x:color rgb="FF2563EB"/>
      </x:bottom>
    </x:border>
    <x:border>
      <x:right style="thin">
        <x:color rgb="FF2563EB"/>
      </x:right>
      <x:top style="thin">
        <x:color rgb="FF2563EB"/>
      </x:top>
      <x:bottom style="thin">
        <x:color rgb="FF2563EB"/>
      </x:bottom>
    </x:border>
    <x:border>
      <x:bottom style="thin">
        <x:color rgb="FFD7DEE7"/>
      </x:bottom>
    </x:border>
    <x:border>
      <x:top style="thin">
        <x:color rgb="FFD7DEE7"/>
      </x:top>
    </x:border>
  </x:borders>
  <x:cellStyleXfs count="1">
    <x:xf numFmtId="0" fontId="0" fillId="0" borderId="0"/>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4"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4" xfId="0" applyNumberFormat="1" applyFont="1" applyFill="1" applyBorder="1" applyAlignment="1">
      <x:alignment horizontal="center" wrapText="1"/>
    </x:xf>
    <x:xf numFmtId="0" fontId="5" fillId="6" borderId="5" xfId="0" applyNumberFormat="1" applyFont="1" applyFill="1" applyBorder="1" applyAlignment="1">
      <x:alignment horizontal="center" wrapText="1"/>
    </x:xf>
    <x:xf numFmtId="0" fontId="5" fillId="6" borderId="6" xfId="0" applyNumberFormat="1" applyFont="1" applyFill="1" applyBorder="1" applyAlignment="1">
      <x:alignment horizontal="center" wrapText="1"/>
    </x:xf>
    <x:xf numFmtId="0" fontId="5" fillId="6" borderId="4" xfId="0" applyNumberFormat="1" applyFont="1" applyFill="1" applyBorder="1" applyAlignment="1">
      <x:alignment horizontal="center" vertical="center" wrapText="1"/>
    </x:xf>
    <x:xf numFmtId="0" fontId="5" fillId="6" borderId="5" xfId="0" applyNumberFormat="1" applyFont="1" applyFill="1" applyBorder="1" applyAlignment="1">
      <x:alignment horizontal="center" vertical="center" wrapText="1"/>
    </x:xf>
    <x:xf numFmtId="0" fontId="5" fillId="6" borderId="6" xfId="0" applyNumberFormat="1" applyFont="1" applyFill="1" applyBorder="1" applyAlignment="1">
      <x:alignment horizontal="center" vertical="center" wrapText="1"/>
    </x:xf>
    <x:xf numFmtId="0" fontId="6" fillId="0" borderId="0" xfId="0" applyNumberFormat="1" applyFont="1" applyFill="1" applyBorder="1"/>
    <x:xf numFmtId="0" fontId="6" fillId="0" borderId="7" xfId="0" applyNumberFormat="1" applyFont="1" applyFill="1" applyBorder="1"/>
    <x:xf numFmtId="0" fontId="6" fillId="0" borderId="2" xfId="0" applyNumberFormat="1" applyFont="1" applyFill="1" applyBorder="1"/>
    <x:xf numFmtId="0" fontId="6" fillId="0" borderId="8" xfId="0" applyNumberFormat="1" applyFont="1" applyFill="1" applyBorder="1"/>
    <x:xf numFmtId="0" fontId="6" fillId="0" borderId="7" xfId="0" applyNumberFormat="1" applyFont="1" applyFill="1" applyBorder="1" applyAlignment="1">
      <x:alignment wrapText="1"/>
    </x:xf>
    <x:xf numFmtId="0" fontId="6" fillId="0" borderId="2"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7"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6" fillId="0" borderId="7" xfId="0" applyNumberFormat="1" applyFont="1" applyFill="1" applyBorder="1" applyAlignment="1">
      <x:alignment horizontal="center" vertical="top" wrapText="1"/>
    </x:xf>
    <x:xf numFmtId="0" fontId="6" fillId="0" borderId="2" xfId="0" applyNumberFormat="1" applyFont="1" applyFill="1" applyBorder="1" applyAlignment="1">
      <x:alignment horizontal="center" vertical="top" wrapText="1"/>
    </x:xf>
    <x:xf numFmtId="0" fontId="6" fillId="0" borderId="8" xfId="0" applyNumberFormat="1" applyFont="1" applyFill="1" applyBorder="1" applyAlignment="1">
      <x:alignment horizontal="center" vertical="top" wrapText="1"/>
    </x:xf>
    <x:xf numFmtId="0" fontId="3" fillId="3" borderId="0" xfId="0" applyNumberFormat="1" applyFont="1" applyFill="1" applyBorder="1"/>
    <x:xf numFmtId="0" fontId="3" fillId="3" borderId="0" xfId="0" applyNumberFormat="1" applyFont="1" applyFill="1" applyBorder="1" applyAlignment="1">
      <x:alignment vertical="center"/>
    </x:xf>
    <x:xf numFmtId="200" fontId="6" fillId="0" borderId="2" xfId="0" applyNumberFormat="1" applyFont="1" applyFill="1" applyBorder="1" applyAlignment="1">
      <x:alignment vertical="top" wrapText="1"/>
    </x:xf>
    <x:xf numFmtId="200" fontId="6" fillId="0" borderId="7" xfId="0" applyNumberFormat="1" applyFont="1" applyFill="1" applyBorder="1" applyAlignment="1">
      <x:alignment vertical="top" wrapText="1"/>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xfId="0" applyNumberFormat="1" applyFont="1" applyFill="1" applyBorder="0"/>
    <x:xf numFmtId="0" fontId="6" fillId="0" xfId="0" applyNumberFormat="1" applyFont="1" applyFill="1" applyBorder="0" applyAlignment="1">
      <x:alignment wrapText="1"/>
    </x:xf>
    <x:xf numFmtId="0" fontId="6" fillId="0" xfId="0" applyNumberFormat="1" applyFont="1" applyFill="1" applyBorder="0" applyAlignment="1">
      <x:alignment vertical="top" wrapText="1"/>
    </x:xf>
    <x:xf numFmtId="0" fontId="7" fillId="0" xfId="0" applyNumberFormat="1" applyFont="1" applyFill="1" applyBorder="0" applyAlignment="1">
      <x:alignment vertical="top" wrapText="1"/>
    </x:xf>
    <x:xf numFmtId="0" fontId="8" fillId="0" borderId="2" xfId="0" applyNumberFormat="1" applyFont="1" applyFill="1" applyBorder="1" applyAlignment="1">
      <x:alignment vertical="top" wrapText="1"/>
    </x:xf>
    <x:xf numFmtId="0" fontId="8" fillId="0" xfId="0" applyNumberFormat="1" applyFont="1" applyFill="1" applyBorder="0" applyAlignment="1">
      <x:alignment vertical="top" wrapText="1"/>
    </x:xf>
    <x:xf numFmtId="200" fontId="6" fillId="0" borderId="8" xfId="0" applyNumberFormat="1" applyFont="1" applyFill="1" applyBorder="1" applyAlignment="1">
      <x:alignment vertical="top" wrapText="1"/>
    </x:xf>
    <x:xf numFmtId="200" fontId="6" fillId="0" xfId="0" applyNumberFormat="1" applyFont="1" applyFill="1" applyBorder="0"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vertical="center"/>
    </x:xf>
    <x:xf numFmtId="0" fontId="0" fillId="8" borderId="0" xfId="0" applyNumberFormat="1" applyFont="1" applyFill="1" applyBorder="1"/>
    <x:xf numFmtId="0" fontId="5" fillId="8" borderId="0" xfId="0" applyNumberFormat="1" applyFont="1" applyFill="1" applyBorder="1"/>
    <x:xf numFmtId="0" fontId="5" fillId="8" borderId="4" xfId="0" applyNumberFormat="1" applyFont="1" applyFill="1" applyBorder="1"/>
    <x:xf numFmtId="0" fontId="5" fillId="8" borderId="5" xfId="0" applyNumberFormat="1" applyFont="1" applyFill="1" applyBorder="1"/>
    <x:xf numFmtId="0" fontId="5" fillId="8" borderId="6" xfId="0" applyNumberFormat="1" applyFont="1" applyFill="1" applyBorder="1"/>
    <x:xf numFmtId="0" fontId="5" fillId="8" borderId="4" xfId="0" applyNumberFormat="1" applyFont="1" applyFill="1" applyBorder="1" applyAlignment="1">
      <x:alignment wrapText="1"/>
    </x:xf>
    <x:xf numFmtId="0" fontId="5" fillId="8" borderId="5" xfId="0" applyNumberFormat="1" applyFont="1" applyFill="1" applyBorder="1" applyAlignment="1">
      <x:alignment wrapText="1"/>
    </x:xf>
    <x:xf numFmtId="0" fontId="5" fillId="8" borderId="6" xfId="0" applyNumberFormat="1" applyFont="1" applyFill="1" applyBorder="1" applyAlignment="1">
      <x:alignment wrapText="1"/>
    </x:xf>
    <x:xf numFmtId="0" fontId="5" fillId="8" borderId="4" xfId="0" applyNumberFormat="1" applyFont="1" applyFill="1" applyBorder="1" applyAlignment="1">
      <x:alignment horizontal="center" wrapText="1"/>
    </x:xf>
    <x:xf numFmtId="0" fontId="5" fillId="8" borderId="5" xfId="0" applyNumberFormat="1" applyFont="1" applyFill="1" applyBorder="1" applyAlignment="1">
      <x:alignment horizontal="center" wrapText="1"/>
    </x:xf>
    <x:xf numFmtId="0" fontId="5" fillId="8" borderId="6" xfId="0" applyNumberFormat="1" applyFont="1" applyFill="1" applyBorder="1" applyAlignment="1">
      <x:alignment horizontal="center" wrapText="1"/>
    </x:xf>
    <x:xf numFmtId="0" fontId="5" fillId="8" borderId="4" xfId="0" applyNumberFormat="1" applyFont="1" applyFill="1" applyBorder="1" applyAlignment="1">
      <x:alignment horizontal="center" vertical="center" wrapText="1"/>
    </x:xf>
    <x:xf numFmtId="0" fontId="5" fillId="8" borderId="5" xfId="0" applyNumberFormat="1" applyFont="1" applyFill="1" applyBorder="1" applyAlignment="1">
      <x:alignment horizontal="center" vertical="center" wrapText="1"/>
    </x:xf>
    <x:xf numFmtId="0" fontId="5" fillId="8" borderId="6" xfId="0" applyNumberFormat="1" applyFont="1" applyFill="1" applyBorder="1" applyAlignment="1">
      <x:alignment horizontal="center" vertical="center"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cellXfs>
  <x:cellStyles count="1">
    <x:cellStyle name="Normal" xfId="0"/>
  </x:cellStyles>
  <x:dxfs count="19">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7eddcfa2e64d55" /><Relationship Type="http://schemas.openxmlformats.org/officeDocument/2006/relationships/theme" Target="/xl/theme/theme1.xml" Id="Rb3c18589a3d8454a" /><Relationship Type="http://schemas.microsoft.com/office/2022/11/relationships/FeaturePropertyBag" Target="/xl/featurePropertyBag/featurePropertyBag.xml" Id="R26d77a3f390f4c6a" /><Relationship Type="http://schemas.openxmlformats.org/officeDocument/2006/relationships/sharedStrings" Target="/xl/sharedStrings.xml" Id="Rf8b4e38898184c0e" /><Relationship Type="http://schemas.openxmlformats.org/officeDocument/2006/relationships/worksheet" Target="/xl/worksheets/sheet1.xml" Id="R34fe4003ed384543" /><Relationship Type="http://schemas.openxmlformats.org/officeDocument/2006/relationships/worksheet" Target="/xl/worksheets/sheet2.xml" Id="R23762d4ba2b94f09" /><Relationship Type="http://schemas.openxmlformats.org/officeDocument/2006/relationships/worksheet" Target="/xl/worksheets/sheet3.xml" Id="R09a23460fb894a89" /><Relationship Type="http://schemas.openxmlformats.org/officeDocument/2006/relationships/worksheet" Target="/xl/worksheets/sheet4.xml" Id="Rca4931bacd6c4d4f" /><Relationship Type="http://schemas.openxmlformats.org/officeDocument/2006/relationships/worksheet" Target="/xl/worksheets/sheet5.xml" Id="Rb8c18c6177c5495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9" hidden="0" customWidth="1"/>
    <x:col min="4" max="4" width="36" hidden="0" customWidth="1"/>
    <x:col min="5" max="5" width="46" hidden="0" customWidth="1"/>
    <x:col min="6" max="6" width="42" hidden="0" customWidth="1"/>
    <x:col min="7" max="7" width="18" hidden="0" customWidth="1"/>
    <x:col min="8" max="8" width="13" hidden="0" customWidth="1"/>
    <x:col min="9" max="9" width="12" hidden="0" customWidth="1"/>
    <x:col min="10" max="10" width="12" hidden="0" customWidth="1"/>
    <x:col min="11" max="11" width="12" hidden="0" customWidth="1"/>
    <x:col min="12" max="12" width="14" hidden="0" customWidth="1"/>
    <x:col min="13" max="13" width="16" hidden="0" customWidth="1"/>
    <x:col min="14" max="14" width="16" hidden="0" customWidth="1"/>
    <x:col min="15" max="15" width="16" hidden="0" customWidth="1"/>
    <x:col min="16" max="16" width="18" hidden="0" customWidth="1"/>
    <x:col min="17" max="17" width="16" hidden="0" customWidth="1"/>
    <x:col min="18" max="18" width="14" hidden="0" customWidth="1"/>
    <x:col min="19" max="19" width="16" hidden="0" customWidth="1"/>
    <x:col min="20" max="20" width="30" hidden="0" customWidth="1"/>
  </x:cols>
  <x:sheetData>
    <x:row r="1" ht="28" customHeight="1">
      <x:c r="A1" s="4" t="str">
        <x:v>dockit feature ledger</x:v>
      </x:c>
      <x:c r="B1" s="4"/>
      <x:c r="C1" s="4"/>
      <x:c r="D1" s="4"/>
      <x:c r="E1" s="4"/>
      <x:c r="F1" s="4"/>
      <x:c r="G1" s="4"/>
      <x:c r="H1" s="4"/>
      <x:c r="I1" s="4"/>
      <x:c r="J1" s="4"/>
      <x:c r="K1" s="4"/>
      <x:c r="L1" s="4"/>
      <x:c r="M1" s="4"/>
      <x:c r="N1" s="4"/>
      <x:c r="O1" s="4"/>
      <x:c r="P1" s="4"/>
      <x:c r="Q1" s="4"/>
      <x:c r="R1" s="4"/>
      <x:c r="S1" s="4"/>
      <x:c r="T1" s="4"/>
    </x:row>
    <x:row r="2" ht="26" customHeight="1">
      <x:c r="A2" s="13" t="str">
        <x:v>Total stories</x:v>
      </x:c>
      <x:c r="B2" s="14" t="n">
        <x:f>COUNTA(A7:A300)</x:f>
        <x:v>86</x:v>
      </x:c>
      <x:c r="C2" s="14"/>
      <x:c r="D2" s="14" t="str">
        <x:v>Verified</x:v>
      </x:c>
      <x:c r="E2" s="14" t="n">
        <x:f>COUNTIF(H7:H300,"Verified")</x:f>
        <x:v>0</x:v>
      </x:c>
      <x:c r="F2" s="14"/>
      <x:c r="G2" s="14" t="str">
        <x:v>Functional pass</x:v>
      </x:c>
      <x:c r="H2" s="14" t="n">
        <x:f>COUNTIF(I7:I300,"Pass")</x:f>
        <x:v>44</x:v>
      </x:c>
      <x:c r="I2" s="14"/>
      <x:c r="J2" s="14" t="str">
        <x:v>Unresolved defects</x:v>
      </x:c>
      <x:c r="K2" s="15" t="n">
        <x:f>Defects!B2</x:f>
        <x:v>76</x:v>
      </x:c>
      <x:c r="M2" s="19" t="str">
        <x:v>Verification rule: do not set Verified without a real Dock test, required evidence, and no unresolved high-severity defect.</x:v>
      </x:c>
      <x:c r="N2" s="19"/>
      <x:c r="O2" s="19"/>
      <x:c r="P2" s="19"/>
      <x:c r="Q2" s="19"/>
      <x:c r="R2" s="19"/>
      <x:c r="S2" s="19"/>
      <x:c r="T2" s="19"/>
    </x:row>
    <x:row r="3" ht="28" customHeight="1">
      <x:c r="A3" s="7" t="str">
        <x:v>This workbook is the only feature-status source of truth. Every story begins Not run until real evidence exists.</x:v>
      </x:c>
      <x:c r="B3" s="7"/>
      <x:c r="C3" s="7"/>
      <x:c r="D3" s="7"/>
      <x:c r="E3" s="7"/>
      <x:c r="F3" s="7"/>
      <x:c r="G3" s="7"/>
      <x:c r="H3" s="7"/>
      <x:c r="I3" s="7"/>
      <x:c r="J3" s="7"/>
      <x:c r="K3" s="7"/>
      <x:c r="L3" s="7"/>
      <x:c r="M3" s="7"/>
      <x:c r="N3" s="7"/>
      <x:c r="O3" s="7"/>
      <x:c r="P3" s="7"/>
      <x:c r="Q3" s="7"/>
      <x:c r="R3" s="7"/>
      <x:c r="S3" s="7"/>
      <x:c r="T3" s="7"/>
    </x:row>
    <x:row r="6" ht="34" customHeight="1">
      <x:c r="A6" s="31" t="str">
        <x:v>Story ID</x:v>
      </x:c>
      <x:c r="B6" s="32" t="str">
        <x:v>Area</x:v>
      </x:c>
      <x:c r="C6" s="32" t="str">
        <x:v>Contract</x:v>
      </x:c>
      <x:c r="D6" s="32" t="str">
        <x:v>User story</x:v>
      </x:c>
      <x:c r="E6" s="32" t="str">
        <x:v>Expected behavior</x:v>
      </x:c>
      <x:c r="F6" s="32" t="str">
        <x:v>Acceptance test</x:v>
      </x:c>
      <x:c r="G6" s="32" t="str">
        <x:v>Source, code, or decision refs</x:v>
      </x:c>
      <x:c r="H6" s="32" t="str">
        <x:v>Delivery</x:v>
      </x:c>
      <x:c r="I6" s="32" t="str">
        <x:v>Functional</x:v>
      </x:c>
      <x:c r="J6" s="32" t="str">
        <x:v>Visual</x:v>
      </x:c>
      <x:c r="K6" s="32" t="str">
        <x:v>Motion</x:v>
      </x:c>
      <x:c r="L6" s="32" t="str">
        <x:v>Accessibility</x:v>
      </x:c>
      <x:c r="M6" s="32" t="str">
        <x:v>Test run IDs</x:v>
      </x:c>
      <x:c r="N6" s="32" t="str">
        <x:v>Evidence IDs</x:v>
      </x:c>
      <x:c r="O6" s="32" t="str">
        <x:v>Defect IDs</x:v>
      </x:c>
      <x:c r="P6" s="32" t="str">
        <x:v>Regression story IDs</x:v>
      </x:c>
      <x:c r="Q6" s="32" t="str">
        <x:v>Build / commit</x:v>
      </x:c>
      <x:c r="R6" s="32" t="str">
        <x:v>Owner</x:v>
      </x:c>
      <x:c r="S6" s="32" t="str">
        <x:v>Last updated</x:v>
      </x:c>
      <x:c r="T6" s="33" t="str">
        <x:v>Notes</x:v>
      </x:c>
    </x:row>
    <x:row r="7">
      <x:c r="A7" s="44" t="str">
        <x:v>PLT-001</x:v>
      </x:c>
      <x:c r="B7" s="44" t="str">
        <x:v>Platform</x:v>
      </x:c>
      <x:c r="C7" s="44" t="str">
        <x:v>Settled</x:v>
      </x:c>
      <x:c r="D7" s="41" t="str">
        <x:v>As a Mac user, I can tell whether dockit supports my Mac.</x:v>
      </x:c>
      <x:c r="E7" s="41" t="str">
        <x:v>dockit runs on macOS 26 or later. Unsupported systems cannot install or launch the build.</x:v>
      </x:c>
      <x:c r="F7" s="41" t="str">
        <x:v>Build with a macOS 26 deployment target. Confirm the app launches on macOS 26 and the binary declares the same minimum version.</x:v>
      </x:c>
      <x:c r="G7" s="41" t="str"/>
      <x:c r="H7" s="47" t="str">
        <x:v>Ready to build</x:v>
      </x:c>
      <x:c r="I7" s="47" t="str">
        <x:v>Not run</x:v>
      </x:c>
      <x:c r="J7" s="47" t="str">
        <x:v>Not run</x:v>
      </x:c>
      <x:c r="K7" s="47" t="str">
        <x:v>Not run</x:v>
      </x:c>
      <x:c r="L7" s="47" t="str">
        <x:v>Not run</x:v>
      </x:c>
      <x:c r="M7" s="41" t="str"/>
      <x:c r="N7" s="41" t="str"/>
      <x:c r="O7" s="41" t="str"/>
      <x:c r="P7" s="41" t="str"/>
      <x:c r="Q7" s="41" t="str"/>
      <x:c r="R7" s="41" t="str"/>
      <x:c r="S7" s="41" t="str"/>
      <x:c r="T7" s="41"/>
    </x:row>
    <x:row r="8">
      <x:c r="A8" s="45" t="str">
        <x:v>PRV-001</x:v>
      </x:c>
      <x:c r="B8" s="45" t="str">
        <x:v>Privacy</x:v>
      </x:c>
      <x:c r="C8" s="45" t="str">
        <x:v>Explicit</x:v>
      </x:c>
      <x:c r="D8" s="42" t="str">
        <x:v>As a user, my Dock profiles remain on my Mac.</x:v>
      </x:c>
      <x:c r="E8" s="42" t="str">
        <x:v>Profiles persist only in local application storage.</x:v>
      </x:c>
      <x:c r="F8" s="42" t="str">
        <x:v>Create profiles, inspect storage, disable networking, relaunch, and confirm the profiles remain available.</x:v>
      </x:c>
      <x:c r="G8" s="42" t="str">
        <x:v>Sources/Dockit/AppModel.swift; Sources/DockitCore/DockLibraryStore.swift; Tests/DockitCoreTests/DockLibraryTests.swift</x:v>
      </x:c>
      <x:c r="H8" s="48" t="str">
        <x:v>Ready for retest</x:v>
      </x:c>
      <x:c r="I8" s="48" t="str">
        <x:v>Not run</x:v>
      </x:c>
      <x:c r="J8" s="48" t="str">
        <x:v>Not run</x:v>
      </x:c>
      <x:c r="K8" s="48" t="str">
        <x:v>Not applicable</x:v>
      </x:c>
      <x:c r="L8" s="48" t="str">
        <x:v>Not run</x:v>
      </x:c>
      <x:c r="M8" s="42" t="str">
        <x:v>TR-CORE-STORE-001, TR-CORE-STORE-002, TR-CORE-REGRESSION-004, TR-CODE-REDESIGN-AUDIT-001, TR-CORE-V2-001, TR-LIBRARY-ATOMIC-SAVE-FINAL, TR-LIBRARY-ATOMIC-SAVE-HOSTED, TR-RETRY-STALE-ALERT-LIVE-GREEN</x:v>
      </x:c>
      <x:c r="N8" s="42" t="str">
        <x:v>EV-CORE-002, EV-REDESIGN-SOURCE-001, EV-CORE-V2-001, EV-LIBRARY-ATOMIC-SAVE-FINAL, EV-LIBRARY-ATOMIC-SAVE-HOSTED, EV-RETRY-STALE-ALERT-GREEN</x:v>
      </x:c>
      <x:c r="O8" s="42" t="str">
        <x:v>DEF-030, DEF-092</x:v>
      </x:c>
      <x:c r="P8" s="42" t="str"/>
      <x:c r="Q8" s="42" t="str">
        <x:v>source 2026-09-04</x:v>
      </x:c>
      <x:c r="R8" s="42" t="str">
        <x:v>root</x:v>
      </x:c>
      <x:c r="S8" s="52" t="n">
        <x:v>46271.045047789354</x:v>
      </x:c>
      <x:c r="T8" s="42" t="str">
        <x:v>Local storage has automated coverage. The demo-mode disk-write correction and the complete privacy inspection still need app-level retesting.</x:v>
      </x:c>
    </x:row>
    <x:row r="9">
      <x:c r="A9" s="45" t="str">
        <x:v>PRV-002</x:v>
      </x:c>
      <x:c r="B9" s="45" t="str">
        <x:v>Privacy</x:v>
      </x:c>
      <x:c r="C9" s="45" t="str">
        <x:v>Explicit</x:v>
      </x:c>
      <x:c r="D9" s="42" t="str">
        <x:v>As a user, I can use dockit without an account.</x:v>
      </x:c>
      <x:c r="E9" s="42" t="str">
        <x:v>No sign-in, registration, identity, or account recovery path exists.</x:v>
      </x:c>
      <x:c r="F9" s="42" t="str">
        <x:v>Exercise first launch and all profile actions without credentials.</x:v>
      </x:c>
      <x:c r="G9" s="42" t="str"/>
      <x:c r="H9" s="48" t="str">
        <x:v>Ready to build</x:v>
      </x:c>
      <x:c r="I9" s="48" t="str">
        <x:v>Not run</x:v>
      </x:c>
      <x:c r="J9" s="48" t="str">
        <x:v>Not run</x:v>
      </x:c>
      <x:c r="K9" s="48" t="str">
        <x:v>Not run</x:v>
      </x:c>
      <x:c r="L9" s="48" t="str">
        <x:v>Not run</x:v>
      </x:c>
      <x:c r="M9" s="42" t="str"/>
      <x:c r="N9" s="42" t="str"/>
      <x:c r="O9" s="42" t="str"/>
      <x:c r="P9" s="42" t="str"/>
      <x:c r="Q9" s="42" t="str"/>
      <x:c r="R9" s="42" t="str"/>
      <x:c r="S9" s="42" t="str"/>
      <x:c r="T9" s="42"/>
    </x:row>
    <x:row r="10">
      <x:c r="A10" s="45" t="str">
        <x:v>PRV-003</x:v>
      </x:c>
      <x:c r="B10" s="45" t="str">
        <x:v>Privacy</x:v>
      </x:c>
      <x:c r="C10" s="45" t="str">
        <x:v>Explicit</x:v>
      </x:c>
      <x:c r="D10" s="42" t="str">
        <x:v>As a user, my profiles do not sync through a service.</x:v>
      </x:c>
      <x:c r="E10" s="42" t="str">
        <x:v>dockit has no cloud synchronization path.</x:v>
      </x:c>
      <x:c r="F10" s="42" t="str">
        <x:v>Inspect settings and network activity while creating, editing, and switching profiles.</x:v>
      </x:c>
      <x:c r="G10" s="42" t="str"/>
      <x:c r="H10" s="48" t="str">
        <x:v>Ready to build</x:v>
      </x:c>
      <x:c r="I10" s="48" t="str">
        <x:v>Not run</x:v>
      </x:c>
      <x:c r="J10" s="48" t="str">
        <x:v>Not run</x:v>
      </x:c>
      <x:c r="K10" s="48" t="str">
        <x:v>Not run</x:v>
      </x:c>
      <x:c r="L10" s="48" t="str">
        <x:v>Not run</x:v>
      </x:c>
      <x:c r="M10" s="42" t="str"/>
      <x:c r="N10" s="42" t="str"/>
      <x:c r="O10" s="42" t="str"/>
      <x:c r="P10" s="42" t="str"/>
      <x:c r="Q10" s="42" t="str"/>
      <x:c r="R10" s="42" t="str"/>
      <x:c r="S10" s="42" t="str"/>
      <x:c r="T10" s="42"/>
    </x:row>
    <x:row r="11">
      <x:c r="A11" s="45" t="str">
        <x:v>PRV-004</x:v>
      </x:c>
      <x:c r="B11" s="45" t="str">
        <x:v>Privacy</x:v>
      </x:c>
      <x:c r="C11" s="45" t="str">
        <x:v>Explicit</x:v>
      </x:c>
      <x:c r="D11" s="42" t="str">
        <x:v>As a user, I am not tracked.</x:v>
      </x:c>
      <x:c r="E11" s="42" t="str">
        <x:v>dockit emits no analytics or telemetry.</x:v>
      </x:c>
      <x:c r="F11" s="42" t="str">
        <x:v>Monitor network and local logs during an end-to-end session. Record no analytics destination or event payload.</x:v>
      </x:c>
      <x:c r="G11" s="42" t="str"/>
      <x:c r="H11" s="48" t="str">
        <x:v>Ready to build</x:v>
      </x:c>
      <x:c r="I11" s="48" t="str">
        <x:v>Not run</x:v>
      </x:c>
      <x:c r="J11" s="48" t="str">
        <x:v>Not run</x:v>
      </x:c>
      <x:c r="K11" s="48" t="str">
        <x:v>Not run</x:v>
      </x:c>
      <x:c r="L11" s="48" t="str">
        <x:v>Not run</x:v>
      </x:c>
      <x:c r="M11" s="42" t="str"/>
      <x:c r="N11" s="42" t="str"/>
      <x:c r="O11" s="42" t="str"/>
      <x:c r="P11" s="42" t="str"/>
      <x:c r="Q11" s="42" t="str"/>
      <x:c r="R11" s="42" t="str"/>
      <x:c r="S11" s="42" t="str"/>
      <x:c r="T11" s="42"/>
    </x:row>
    <x:row r="12">
      <x:c r="A12" s="45" t="str">
        <x:v>PRF-001</x:v>
      </x:c>
      <x:c r="B12" s="45" t="str">
        <x:v>Profiles</x:v>
      </x:c>
      <x:c r="C12" s="45" t="str">
        <x:v>Settled</x:v>
      </x:c>
      <x:c r="D12" s="42" t="str">
        <x:v>As a user, I can create a Dock from my current Dock.</x:v>
      </x:c>
      <x:c r="E12" s="42" t="str">
        <x:v>The create flow offers Capture current Dock and stores the current pinned apps and spacers as a new profile.</x:v>
      </x:c>
      <x:c r="F12" s="42" t="str">
        <x:v>Create from a fixture Dock. Switch away and back. Confirm app order and spacer layout match the captured baseline.</x:v>
      </x:c>
      <x:c r="G12" s="42" t="str">
        <x:v>Sources/Dockit/AppModel.swift; Sources/DockitCore/DockLibrary.swift; Sources/DockitCore/DockLibraryStore.swift</x:v>
      </x:c>
      <x:c r="H12" s="48" t="str">
        <x:v>Ready for retest</x:v>
      </x:c>
      <x:c r="I12" s="48" t="str">
        <x:v>Not run</x:v>
      </x:c>
      <x:c r="J12" s="48" t="str">
        <x:v>Not run</x:v>
      </x:c>
      <x:c r="K12" s="48" t="str">
        <x:v>Not applicable</x:v>
      </x:c>
      <x:c r="L12" s="48" t="str">
        <x:v>Not run</x:v>
      </x:c>
      <x:c r="M12" s="42" t="str">
        <x:v>TR-FIRST-LAUNCH-001, TR-CODE-REDESIGN-AUDIT-001</x:v>
      </x:c>
      <x:c r="N12" s="42" t="str">
        <x:v>EV-SETUP-004, EV-SETUP-005, EV-REDESIGN-SOURCE-001</x:v>
      </x:c>
      <x:c r="O12" s="42" t="str">
        <x:v>DEF-034</x:v>
      </x:c>
      <x:c r="P12" s="42" t="str"/>
      <x:c r="Q12" s="42" t="str">
        <x:v>source 2026-09-04</x:v>
      </x:c>
      <x:c r="R12" s="42" t="str">
        <x:v>root</x:v>
      </x:c>
      <x:c r="S12" s="52" t="n">
        <x:v>46269.89460898148</x:v>
      </x:c>
      <x:c r="T12" s="42" t="str">
        <x:v>The first captured profile and its applied baseline now save as one library transaction. The revised first-run flow has no runtime evidence yet.</x:v>
      </x:c>
    </x:row>
    <x:row r="13">
      <x:c r="A13" s="45" t="str">
        <x:v>PRF-002</x:v>
      </x:c>
      <x:c r="B13" s="45" t="str">
        <x:v>Profiles</x:v>
      </x:c>
      <x:c r="C13" s="45" t="str">
        <x:v>Settled</x:v>
      </x:c>
      <x:c r="D13" s="42" t="str">
        <x:v>As a user, I can create an empty Dock.</x:v>
      </x:c>
      <x:c r="E13" s="42" t="str">
        <x:v>The create flow offers Empty Dock and creates a profile with no pinned apps or spacers.</x:v>
      </x:c>
      <x:c r="F13" s="42" t="str">
        <x:v>Create an empty profile, activate it, and confirm folders, recents, settings, and running apps remain untouched.</x:v>
      </x:c>
      <x:c r="G13" s="42" t="str"/>
      <x:c r="H13" s="48" t="str">
        <x:v>Ready to build</x:v>
      </x:c>
      <x:c r="I13" s="48" t="str">
        <x:v>Not run</x:v>
      </x:c>
      <x:c r="J13" s="48" t="str">
        <x:v>Not run</x:v>
      </x:c>
      <x:c r="K13" s="48" t="str">
        <x:v>Not run</x:v>
      </x:c>
      <x:c r="L13" s="48" t="str">
        <x:v>Not run</x:v>
      </x:c>
      <x:c r="M13" s="42" t="str"/>
      <x:c r="N13" s="42" t="str"/>
      <x:c r="O13" s="42" t="str"/>
      <x:c r="P13" s="42" t="str"/>
      <x:c r="Q13" s="42" t="str"/>
      <x:c r="R13" s="42" t="str"/>
      <x:c r="S13" s="42" t="str"/>
      <x:c r="T13" s="42"/>
    </x:row>
    <x:row r="14">
      <x:c r="A14" s="45" t="str">
        <x:v>PRF-003</x:v>
      </x:c>
      <x:c r="B14" s="45" t="str">
        <x:v>Profiles</x:v>
      </x:c>
      <x:c r="C14" s="45" t="str">
        <x:v>Explicit</x:v>
      </x:c>
      <x:c r="D14" s="42" t="str">
        <x:v>As a user, I can name a Dock profile.</x:v>
      </x:c>
      <x:c r="E14" s="42" t="str">
        <x:v>A profile name is visible in every selection and management surface and persists after relaunch.</x:v>
      </x:c>
      <x:c r="F14" s="42" t="str">
        <x:v>Create, rename, quit, relaunch, and confirm the same name in each surface.</x:v>
      </x:c>
      <x:c r="G14" s="42" t="str"/>
      <x:c r="H14" s="48" t="str">
        <x:v>Ready to build</x:v>
      </x:c>
      <x:c r="I14" s="48" t="str">
        <x:v>Not run</x:v>
      </x:c>
      <x:c r="J14" s="48" t="str">
        <x:v>Not run</x:v>
      </x:c>
      <x:c r="K14" s="48" t="str">
        <x:v>Not run</x:v>
      </x:c>
      <x:c r="L14" s="48" t="str">
        <x:v>Not run</x:v>
      </x:c>
      <x:c r="M14" s="42" t="str">
        <x:v>TR-LONG-NAME-MINIMUM-LIGHT-001, TR-NATIVE-PICKER-WRAP-MEASUREMENT-RED-001, TR-NATIVE-PICKER-CELL-HOSTED-GREEN-001, TR-NATIVE-PICKER-BLANK-DISPLAY-RED-001, TR-NATIVE-PICKER-CELL-LIGHT-RED-001, TR-NATIVE-PICKER-BORDER-CELL-HOSTED-GREEN-001, TR-NATIVE-PICKER-SHARED-GLASS-PARTIAL-001, TR-NATIVE-PICKER-FINAL-LAYOUT-HOSTED-GREEN-001, TR-NATIVE-PICKER-COMMON-INSET-HOSTED-GREEN-001, TR-NATIVE-PICKER-COMMON-INSET-RUNTIME-GREEN-001</x:v>
      </x:c>
      <x:c r="N14" s="42" t="str">
        <x:v>EV-LONG-NAME-MINIMUM-LIGHT-001, EV-NATIVE-PICKER-WRAP-MEASUREMENT-RED-001, EV-NATIVE-PICKER-CELL-HOSTED-GREEN-001, EV-NATIVE-PICKER-BLANK-DISPLAY-RED-001, EV-NATIVE-PICKER-CELL-LIGHT-RED-001, EV-NATIVE-PICKER-BORDER-CELL-HOSTED-GREEN-001, EV-NATIVE-PICKER-SHARED-GLASS-PARTIAL-001, EV-NATIVE-PICKER-FINAL-LAYOUT-HOSTED-GREEN-001, EV-NATIVE-PICKER-COMMON-INSET-HOSTED-GREEN-001, EV-NATIVE-PICKER-COMMON-INSET-RUNTIME-GREEN-001</x:v>
      </x:c>
      <x:c r="O14" s="42" t="str">
        <x:v>DEF-073, DEF-074</x:v>
      </x:c>
      <x:c r="P14" s="42" t="str"/>
      <x:c r="Q14" s="42" t="str"/>
      <x:c r="R14" s="42" t="str"/>
      <x:c r="S14" s="52" t="n">
        <x:v>46270.0275675</x:v>
      </x:c>
      <x:c r="T14" s="42"/>
    </x:row>
    <x:row r="15">
      <x:c r="A15" s="45" t="str">
        <x:v>PRF-004</x:v>
      </x:c>
      <x:c r="B15" s="45" t="str">
        <x:v>Profiles</x:v>
      </x:c>
      <x:c r="C15" s="45" t="str">
        <x:v>Explicit</x:v>
      </x:c>
      <x:c r="D15" s="42" t="str">
        <x:v>As a user, I can color a Dock profile.</x:v>
      </x:c>
      <x:c r="E15" s="42" t="str">
        <x:v>A selected profile color is visible where profiles are distinguished and persists after relaunch.</x:v>
      </x:c>
      <x:c r="F15" s="42" t="str">
        <x:v>Change color, relaunch, and inspect each profile surface in light and dark appearance.</x:v>
      </x:c>
      <x:c r="G15" s="42" t="str">
        <x:v>DEC-31; Sources/Dockit/ProfileColorStyle.swift; artifacts/ui/reference-palette-audit.md</x:v>
      </x:c>
      <x:c r="H15" s="48" t="str">
        <x:v>Ready for retest</x:v>
      </x:c>
      <x:c r="I15" s="48" t="str">
        <x:v>Pass</x:v>
      </x:c>
      <x:c r="J15" s="48" t="str">
        <x:v>Not run</x:v>
      </x:c>
      <x:c r="K15" s="48" t="str">
        <x:v>Not applicable</x:v>
      </x:c>
      <x:c r="L15" s="48" t="str">
        <x:v>Not run</x:v>
      </x:c>
      <x:c r="M15" s="42" t="str">
        <x:v>TR-REFERENCE-DETAIL-VISUAL-001, TR-LIQUID-GLASS-FIRST-RETEST-001, TR-REFERENCE-FRAME-000000-REVIEW-001, TR-PROFILE-COLOR-PALETTE-001, TR-EDITOR-FINAL-CHROME-001, TR-APP-HOSTED-FINAL-001, TR-APP-HOSTED-POST-SEPARATOR-001, TR-NATIVE-PICKER-CELL-HOSTED-GREEN-001, TR-NATIVE-PICKER-BLANK-DISPLAY-RED-001, TR-NATIVE-PICKER-CELL-LIGHT-RED-001, TR-NATIVE-PICKER-BORDER-CELL-HOSTED-GREEN-001, TR-NATIVE-PICKER-SHARED-GLASS-PARTIAL-001, TR-NATIVE-PICKER-FINAL-LAYOUT-HOSTED-GREEN-001, TR-NATIVE-PICKER-COMMON-INSET-HOSTED-GREEN-001, TR-NATIVE-PICKER-COMMON-INSET-RUNTIME-GREEN-001, TR-REFERENCE-EDITOR-HOSTED-001, TR-REFERENCE-EDITOR-STATIC-001, TR-FLAT-TESTS-073-085, TR-FLAT-FINAL-HOSTED, TR-FLAT-APPEARANCE-BOUNDED</x:v>
      </x:c>
      <x:c r="N15" s="42" t="str">
        <x:v>EV-REFERENCE-DETAIL-APP-BEFORE-001, EV-REFERENCE-FRAME-000000-001, EV-LIQUID-GLASS-REVIEW-001, EV-LIQUID-GLASS-FIRST-AFTER-001, EV-REFERENCE-FRAME-000000-ANNOTATION-001, EV-PROFILE-COLOR-TESTS-001, EV-PROFILE-COLOR-AUDIT-001, EV-EDITOR-FINAL-CHROME-LIGHT-001, EV-EDITOR-FINAL-CHROME-DARK-001, EV-APP-HOSTED-FINAL-001, EV-APP-HOSTED-POST-SEPARATOR-001, EV-NATIVE-PICKER-CELL-HOSTED-GREEN-001, EV-NATIVE-PICKER-BLANK-DISPLAY-RED-001, EV-NATIVE-PICKER-CELL-LIGHT-RED-001, EV-NATIVE-PICKER-BORDER-CELL-HOSTED-GREEN-001, EV-NATIVE-PICKER-SHARED-GLASS-PARTIAL-001, EV-NATIVE-PICKER-FINAL-LAYOUT-HOSTED-GREEN-001, EV-NATIVE-PICKER-COMMON-INSET-HOSTED-GREEN-001, EV-NATIVE-PICKER-COMMON-INSET-RUNTIME-GREEN-001, EV-REFERENCE-EDITOR-HOSTED-001, EV-REFERENCE-EDITOR-STATIC-001, EV-FLAT-TESTS-073-085, EV-FLAT-FINAL-HOSTED, EV-FLAT-APPEARANCE-BOUNDED</x:v>
      </x:c>
      <x:c r="O15" s="42" t="str">
        <x:v>DEF-061, DEF-062, DEF-074, DEF-079, DEF-081, DEF-083, DEF-084, DEF-085, DEF-087, DEF-076</x:v>
      </x:c>
      <x:c r="P15" s="42" t="str"/>
      <x:c r="Q15" s="42" t="str">
        <x:v>flat-feedback-final, macOS 26.6, ad-hoc isolated demo 2026-09-05</x:v>
      </x:c>
      <x:c r="R15" s="42" t="str">
        <x:v>root</x:v>
      </x:c>
      <x:c r="S15" s="52" t="n">
        <x:v>46270.49845075231</x:v>
      </x:c>
      <x:c r="T15" s="42" t="str">
        <x:v>Hue-preserving dark variants and adaptive badge have automated gamut checks and one dark editor capture. Remaining palette surfaces and contrast sweep remain open.</x:v>
      </x:c>
    </x:row>
    <x:row r="16">
      <x:c r="A16" s="45" t="str">
        <x:v>PRF-005</x:v>
      </x:c>
      <x:c r="B16" s="45" t="str">
        <x:v>Profiles</x:v>
      </x:c>
      <x:c r="C16" s="45" t="str">
        <x:v>Explicit</x:v>
      </x:c>
      <x:c r="D16" s="42" t="str">
        <x:v>As a user, I can create as many Dock profiles as I need.</x:v>
      </x:c>
      <x:c r="E16" s="42" t="str">
        <x:v>dockit imposes no product-level profile count limit.</x:v>
      </x:c>
      <x:c r="F16" s="42" t="str">
        <x:v>Create a representative multi-profile set and confirm each remains selectable and persists after relaunch.</x:v>
      </x:c>
      <x:c r="G16" s="42" t="str"/>
      <x:c r="H16" s="48" t="str">
        <x:v>Ready to build</x:v>
      </x:c>
      <x:c r="I16" s="48" t="str">
        <x:v>Not run</x:v>
      </x:c>
      <x:c r="J16" s="48" t="str">
        <x:v>Not run</x:v>
      </x:c>
      <x:c r="K16" s="48" t="str">
        <x:v>Not run</x:v>
      </x:c>
      <x:c r="L16" s="48" t="str">
        <x:v>Not run</x:v>
      </x:c>
      <x:c r="M16" s="42" t="str"/>
      <x:c r="N16" s="42" t="str"/>
      <x:c r="O16" s="42" t="str"/>
      <x:c r="P16" s="42" t="str"/>
      <x:c r="Q16" s="42" t="str"/>
      <x:c r="R16" s="42" t="str"/>
      <x:c r="S16" s="42" t="str"/>
      <x:c r="T16" s="42"/>
    </x:row>
    <x:row r="17">
      <x:c r="A17" s="45" t="str">
        <x:v>PRF-006</x:v>
      </x:c>
      <x:c r="B17" s="45" t="str">
        <x:v>Profiles</x:v>
      </x:c>
      <x:c r="C17" s="45" t="str">
        <x:v>Settled</x:v>
      </x:c>
      <x:c r="D17" s="42" t="str">
        <x:v>As a user, I can duplicate a Dock profile.</x:v>
      </x:c>
      <x:c r="E17" s="42" t="str">
        <x:v>Duplicate creates a new independently editable profile with the same name basis, color, apps, spacer sequence, and Focus association policy defined by the product.</x:v>
      </x:c>
      <x:c r="F17" s="42" t="str">
        <x:v>Duplicate a populated profile, edit the duplicate, and confirm the source profile remains unchanged.</x:v>
      </x:c>
      <x:c r="G17" s="42" t="str">
        <x:v>DEC-02</x:v>
      </x:c>
      <x:c r="H17" s="48" t="str">
        <x:v>Ready to build</x:v>
      </x:c>
      <x:c r="I17" s="48" t="str">
        <x:v>Not run</x:v>
      </x:c>
      <x:c r="J17" s="48" t="str">
        <x:v>Not run</x:v>
      </x:c>
      <x:c r="K17" s="48" t="str">
        <x:v>Not run</x:v>
      </x:c>
      <x:c r="L17" s="48" t="str">
        <x:v>Not run</x:v>
      </x:c>
      <x:c r="M17" s="42" t="str">
        <x:v>TR-CORE-REGRESSION-004</x:v>
      </x:c>
      <x:c r="N17" s="42" t="str">
        <x:v>EV-CORE-002</x:v>
      </x:c>
      <x:c r="O17" s="42" t="str"/>
      <x:c r="P17" s="42" t="str"/>
      <x:c r="Q17" s="42" t="str"/>
      <x:c r="R17" s="42" t="str"/>
      <x:c r="S17" s="52" t="n">
        <x:v>46269.26326388889</x:v>
      </x:c>
      <x:c r="T17" s="42"/>
    </x:row>
    <x:row r="18">
      <x:c r="A18" s="45" t="str">
        <x:v>PRF-007</x:v>
      </x:c>
      <x:c r="B18" s="45" t="str">
        <x:v>Profiles</x:v>
      </x:c>
      <x:c r="C18" s="45" t="str">
        <x:v>Settled</x:v>
      </x:c>
      <x:c r="D18" s="42" t="str">
        <x:v>As a user, I can delete a profile I no longer need.</x:v>
      </x:c>
      <x:c r="E18" s="42" t="str">
        <x:v>Deleting a non-final profile requires confirmation and does not change the actual Dock unless the user chooses another profile.</x:v>
      </x:c>
      <x:c r="F18" s="42" t="str">
        <x:v>Delete an inactive and an active non-final profile. Confirm the stored set changes only as approved and the current Dock remains known.</x:v>
      </x:c>
      <x:c r="G18" s="42" t="str">
        <x:v>DEC-03; Sources/Dockit/AppModel.swift; Sources/Dockit/ProfileDetailView.swift</x:v>
      </x:c>
      <x:c r="H18" s="48" t="str">
        <x:v>Fixing</x:v>
      </x:c>
      <x:c r="I18" s="48" t="str">
        <x:v>Not run</x:v>
      </x:c>
      <x:c r="J18" s="48" t="str">
        <x:v>Fail</x:v>
      </x:c>
      <x:c r="K18" s="48" t="str">
        <x:v>Not applicable</x:v>
      </x:c>
      <x:c r="L18" s="48" t="str">
        <x:v>Not run</x:v>
      </x:c>
      <x:c r="M18" s="42" t="str">
        <x:v>TR-DELETE-001, TR-COPY-HELP-AUDIT-001</x:v>
      </x:c>
      <x:c r="N18" s="42" t="str">
        <x:v>EV-DELETE-001, EV-DELETE-002, EV-DELETE-003, EV-COPY-HELP-AUDIT-001</x:v>
      </x:c>
      <x:c r="O18" s="42" t="str">
        <x:v>DEF-053</x:v>
      </x:c>
      <x:c r="P18" s="42" t="str"/>
      <x:c r="Q18" s="42" t="str">
        <x:v>source 2026-09-04</x:v>
      </x:c>
      <x:c r="R18" s="42" t="str">
        <x:v>root</x:v>
      </x:c>
      <x:c r="S18" s="52" t="n">
        <x:v>46269.89461082176</x:v>
      </x:c>
      <x:c r="T18" s="42" t="str">
        <x:v>Deletion terminology is being corrected from make active to apply. The confirmation, cancellation, final-profile guard, and actual Dock preservation need runtime testing.</x:v>
      </x:c>
    </x:row>
    <x:row r="19">
      <x:c r="A19" s="45" t="str">
        <x:v>PRF-008</x:v>
      </x:c>
      <x:c r="B19" s="45" t="str">
        <x:v>Profiles</x:v>
      </x:c>
      <x:c r="C19" s="45" t="str">
        <x:v>Settled</x:v>
      </x:c>
      <x:c r="D19" s="42" t="str">
        <x:v>As a user, I cannot delete my final remaining profile by accident.</x:v>
      </x:c>
      <x:c r="E19" s="42" t="str">
        <x:v>The deletion command is unavailable or explains why when only one profile remains.</x:v>
      </x:c>
      <x:c r="F19" s="42" t="str">
        <x:v>Reduce to one profile and attempt deletion through every available entry point.</x:v>
      </x:c>
      <x:c r="G19" s="42" t="str">
        <x:v>DEC-03; Sources/Dockit/AppModel.swift; Sources/Dockit/ProfileDetailView.swift; Tests/DockitCoreTests/DockLibraryTests.swift</x:v>
      </x:c>
      <x:c r="H19" s="48" t="str">
        <x:v>Ready for retest</x:v>
      </x:c>
      <x:c r="I19" s="48" t="str">
        <x:v>Pass</x:v>
      </x:c>
      <x:c r="J19" s="48" t="str">
        <x:v>Pass</x:v>
      </x:c>
      <x:c r="K19" s="48" t="str">
        <x:v>Not applicable</x:v>
      </x:c>
      <x:c r="L19" s="48" t="str">
        <x:v>Not run</x:v>
      </x:c>
      <x:c r="M19" s="42" t="str">
        <x:v>TR-DELETE-FINAL-001, TR-CORE-SAFETY-001, TR-CORE-REGRESSION-003, TR-CORE-REGRESSION-004</x:v>
      </x:c>
      <x:c r="N19" s="42" t="str">
        <x:v>EV-DELETE-004, EV-CORE-001, EV-CORE-002</x:v>
      </x:c>
      <x:c r="O19" s="42" t="str"/>
      <x:c r="P19" s="42" t="str"/>
      <x:c r="Q19" s="42" t="str">
        <x:v>Debug 2026-09-03</x:v>
      </x:c>
      <x:c r="R19" s="42" t="str">
        <x:v>root</x:v>
      </x:c>
      <x:c r="S19" s="52" t="n">
        <x:v>46269.26326388889</x:v>
      </x:c>
      <x:c r="T19" s="42" t="str">
        <x:v>The final-profile guard passed in the model and native menu.</x:v>
      </x:c>
    </x:row>
    <x:row r="20">
      <x:c r="A20" s="45" t="str">
        <x:v>PRF-009</x:v>
      </x:c>
      <x:c r="B20" s="45" t="str">
        <x:v>Profiles</x:v>
      </x:c>
      <x:c r="C20" s="45" t="str">
        <x:v>Safety guardrail</x:v>
      </x:c>
      <x:c r="D20" s="42" t="str">
        <x:v>As a user, I can tell what I selected, what is saved, and what is applied to the real Dock.</x:v>
      </x:c>
      <x:c r="E20" s="42" t="str">
        <x:v>Selection only changes the editor. Saved changes persist locally. Active and applied state changes only after a verified apply or an accepted external Dock reconciliation. Pending changes remain visible until applied or reverted.</x:v>
      </x:c>
      <x:c r="F20" s="42" t="str">
        <x:v>Select an inactive profile, edit active and inactive profiles, apply one profile, revert edits, inject an apply failure, and confirm every selected, saved, pending, active, and applied indicator remains truthful.</x:v>
      </x:c>
      <x:c r="G20" s="42" t="str">
        <x:v>DEC-16; Sources/Dockit/AppModel.swift; Sources/DockitCore/DockLibrary.swift; Sources/DockitCore/DockModels.swift</x:v>
      </x:c>
      <x:c r="H20" s="48" t="str">
        <x:v>Ready for retest</x:v>
      </x:c>
      <x:c r="I20" s="48" t="str">
        <x:v>Pass</x:v>
      </x:c>
      <x:c r="J20" s="48" t="str">
        <x:v>Pass</x:v>
      </x:c>
      <x:c r="K20" s="48" t="str">
        <x:v>Not run</x:v>
      </x:c>
      <x:c r="L20" s="48" t="str">
        <x:v>Not run</x:v>
      </x:c>
      <x:c r="M20" s="42" t="str">
        <x:v>TR-ACTIVATION-QUEUE-001, TR-CORE-V2-001, TR-APP-MODEL-GREEN-001, TR-EDITOR-DARK-001, TR-APP-HOSTED-FINAL-001, TR-APP-HOSTED-POST-SEPARATOR-001, TR-NATIVE-PICKER-CELL-HOSTED-GREEN-001, TR-NATIVE-PICKER-CELL-LIGHT-RED-001, TR-NATIVE-PICKER-BORDER-CELL-HOSTED-GREEN-001, TR-NATIVE-PICKER-SHARED-GLASS-PARTIAL-001, TR-NATIVE-PICKER-FINAL-LAYOUT-HOSTED-GREEN-001, TR-NATIVE-PICKER-COMMON-INSET-HOSTED-GREEN-001, TR-NATIVE-PICKER-COMMON-INSET-RUNTIME-GREEN-001, TR-INTERACTION-SWEEP-001</x:v>
      </x:c>
      <x:c r="N20" s="42" t="str">
        <x:v>EV-ACT-001, EV-ACT-003, EV-MOTION-001, EV-CORE-V2-001, EV-APP-MODEL-GREEN-001, EV-EDITOR-DARK-DEFAULT-001, EV-EDITOR-DARK-REORDER-001, EV-APP-HOSTED-FINAL-001, EV-APP-HOSTED-POST-SEPARATOR-001, EV-NATIVE-PICKER-CELL-HOSTED-GREEN-001, EV-NATIVE-PICKER-CELL-LIGHT-RED-001, EV-NATIVE-PICKER-BORDER-CELL-HOSTED-GREEN-001, EV-NATIVE-PICKER-SHARED-GLASS-PARTIAL-001, EV-NATIVE-PICKER-FINAL-LAYOUT-HOSTED-GREEN-001, EV-NATIVE-PICKER-COMMON-INSET-HOSTED-GREEN-001, EV-NATIVE-PICKER-COMMON-INSET-RUNTIME-GREEN-001, EV-INTERACTION-SWEEP-001</x:v>
      </x:c>
      <x:c r="O20" s="42" t="str">
        <x:v>DEF-038, DEF-049</x:v>
      </x:c>
      <x:c r="P20" s="42" t="str"/>
      <x:c r="Q20" s="42" t="str">
        <x:v>source 2026-09-04</x:v>
      </x:c>
      <x:c r="R20" s="42" t="str">
        <x:v>root</x:v>
      </x:c>
      <x:c r="S20" s="52" t="n">
        <x:v>46271.13642765046</x:v>
      </x:c>
      <x:c r="T20" s="42" t="str">
        <x:v>Hosted model tests pass saved-versus-applied state, explicit apply, rollback, and reconciliation. Dark demo evidence shows selected, inactive, and saved-without-applying states. Live Dock, failure presentation, motion, light appearance, and VoiceOver remain open.</x:v>
      </x:c>
    </x:row>
    <x:row r="21">
      <x:c r="A21" s="45" t="str">
        <x:v>PRF-010</x:v>
      </x:c>
      <x:c r="B21" s="45" t="str">
        <x:v>Profiles</x:v>
      </x:c>
      <x:c r="C21" s="45" t="str">
        <x:v>Explicit</x:v>
      </x:c>
      <x:c r="D21" s="42" t="str">
        <x:v>As a user, I can apply a saved Dock in one action.</x:v>
      </x:c>
      <x:c r="E21" s="42" t="str">
        <x:v>Choosing a profile from a switching surface or choosing apply in the editor starts the same serialized, verified operation without an extra setup flow. Selecting a profile for inspection does not apply it.</x:v>
      </x:c>
      <x:c r="F21" s="42" t="str">
        <x:v>Apply two saved profiles from the editor, app menu, Dock menu, and menu bar. Confirm selection alone does nothing, each explicit action uses one request, and failures keep the previous applied state.</x:v>
      </x:c>
      <x:c r="G21" s="42" t="str">
        <x:v>DEC-16; Sources/Dockit/AppModel.swift; Sources/Dockit/DockMenuCoordinator.swift; Sources/DockitCore/DockActivationService.swift</x:v>
      </x:c>
      <x:c r="H21" s="48" t="str">
        <x:v>Ready for retest</x:v>
      </x:c>
      <x:c r="I21" s="48" t="str">
        <x:v>Pass</x:v>
      </x:c>
      <x:c r="J21" s="48" t="str">
        <x:v>Pass</x:v>
      </x:c>
      <x:c r="K21" s="48" t="str">
        <x:v>Not run</x:v>
      </x:c>
      <x:c r="L21" s="48" t="str">
        <x:v>Not run</x:v>
      </x:c>
      <x:c r="M21" s="42" t="str">
        <x:v>TR-ACTIVATION-QUEUE-001, TR-MENU-SWITCH-001, TR-CORE-V2-001, TR-APP-MODEL-GREEN-001, TR-EDITOR-DARK-001, TR-ACTIVATION-DUPLICATE-AUDIT-001, TR-ACTIVATION-RELINK-RED-001, TR-ACTIVATION-RELINK-GREEN-001, TR-ACTIVATION-RELINK-GREEN-002, TR-LEDGER-LIQUID-CHECKPOINT-001, TR-APP-HOSTED-FINAL-001, TR-APP-HOSTED-POST-SEPARATOR-001</x:v>
      </x:c>
      <x:c r="N21" s="42" t="str">
        <x:v>EV-ACT-002, EV-ACT-003, EV-MENU-001, EV-MOTION-001, EV-CORE-V2-001, EV-APP-MODEL-GREEN-001, EV-EDITOR-DARK-DEFAULT-001, EV-ACTIVATION-DUPLICATE-AUDIT-001, EV-ACTIVATION-RELINK-RED-001, EV-ACTIVATION-RELINK-GREEN-001, EV-ACTIVATION-RELINK-GREEN-002, EV-ACTIVATION-RELINK-SUMMARY-001, EV-LEDGER-ACTIVATION-GLASS-001, EV-APP-HOSTED-FINAL-001, EV-APP-HOSTED-POST-SEPARATOR-001</x:v>
      </x:c>
      <x:c r="O21" s="42" t="str">
        <x:v>DEF-019, DEF-037, DEF-056</x:v>
      </x:c>
      <x:c r="P21" s="42" t="str"/>
      <x:c r="Q21" s="42" t="str">
        <x:v>source 2026-09-04</x:v>
      </x:c>
      <x:c r="R21" s="42" t="str">
        <x:v>root</x:v>
      </x:c>
      <x:c r="S21" s="52" t="n">
        <x:v>46269.96274516204</x:v>
      </x:c>
      <x:c r="T21" s="42" t="str">
        <x:v>Hosted model coverage now confirms duplicate callers wait for the verified result, failed applies report failure, same-profile repeats avoid a second restart, and newest manual metadata persists. Live Dock and complete switching-surface retests remain open.</x:v>
      </x:c>
    </x:row>
    <x:row r="22">
      <x:c r="A22" s="45" t="str">
        <x:v>PRF-011</x:v>
      </x:c>
      <x:c r="B22" s="45" t="str">
        <x:v>Profiles</x:v>
      </x:c>
      <x:c r="C22" s="45" t="str">
        <x:v>Explicit</x:v>
      </x:c>
      <x:c r="D22" s="42" t="str">
        <x:v>As a user, switching profiles restores pinned app order.</x:v>
      </x:c>
      <x:c r="E22" s="42" t="str">
        <x:v>The actual Dock's pinned-app sequence matches the saved order for the activated profile.</x:v>
      </x:c>
      <x:c r="F22" s="42" t="str">
        <x:v>Apply two profiles with distinct app sequences and compare the Dock to saved expected order.</x:v>
      </x:c>
      <x:c r="G22" s="42" t="str">
        <x:v>Sources/DockitCore/DockSnapshot.swift; Sources/DockitCore/DockApplyCoordinator.swift; Tools/DockProbe.swift</x:v>
      </x:c>
      <x:c r="H22" s="48" t="str">
        <x:v>Ready for retest</x:v>
      </x:c>
      <x:c r="I22" s="48" t="str">
        <x:v>Pass</x:v>
      </x:c>
      <x:c r="J22" s="48" t="str">
        <x:v>Pass</x:v>
      </x:c>
      <x:c r="K22" s="48" t="str">
        <x:v>Not applicable</x:v>
      </x:c>
      <x:c r="L22" s="48" t="str">
        <x:v>Not applicable</x:v>
      </x:c>
      <x:c r="M22" s="42" t="str">
        <x:v>TR-P0-002, TR-P0-003-NONPROFILE-PASS</x:v>
      </x:c>
      <x:c r="N22" s="42" t="str">
        <x:v>EV-P0-001, EV-P0-002, EV-P0-003, EV-P0-005, EV-P0-006</x:v>
      </x:c>
      <x:c r="O22" s="42" t="str"/>
      <x:c r="P22" s="42" t="str"/>
      <x:c r="Q22" s="42" t="str"/>
      <x:c r="R22" s="42" t="str">
        <x:v>root</x:v>
      </x:c>
      <x:c r="S22" s="52" t="n">
        <x:v>46269.20805555556</x:v>
      </x:c>
      <x:c r="T22" s="42" t="str">
        <x:v>Two real-system passes now exist. The second complete product sweep is still required.</x:v>
      </x:c>
    </x:row>
    <x:row r="23">
      <x:c r="A23" s="45" t="str">
        <x:v>PRF-012</x:v>
      </x:c>
      <x:c r="B23" s="45" t="str">
        <x:v>Profiles</x:v>
      </x:c>
      <x:c r="C23" s="45" t="str">
        <x:v>Explicit</x:v>
      </x:c>
      <x:c r="D23" s="42" t="str">
        <x:v>As a user, switching profiles restores spacers.</x:v>
      </x:c>
      <x:c r="E23" s="42" t="str">
        <x:v>Spacer count, kind, and position match the activated profile.</x:v>
      </x:c>
      <x:c r="F23" s="42" t="str">
        <x:v>Apply two profiles with distinct spacer layouts and compare actual Dock separator positions.</x:v>
      </x:c>
      <x:c r="G23" s="42" t="str">
        <x:v>Sources/DockitCore/DockSnapshot.swift; Tools/DockProbe.swift</x:v>
      </x:c>
      <x:c r="H23" s="48" t="str">
        <x:v>Ready for retest</x:v>
      </x:c>
      <x:c r="I23" s="48" t="str">
        <x:v>Pass</x:v>
      </x:c>
      <x:c r="J23" s="48" t="str">
        <x:v>Pass</x:v>
      </x:c>
      <x:c r="K23" s="48" t="str">
        <x:v>Pass</x:v>
      </x:c>
      <x:c r="L23" s="48" t="str">
        <x:v>Not applicable</x:v>
      </x:c>
      <x:c r="M23" s="42" t="str">
        <x:v>TR-P0-002, TR-P0-003-NONPROFILE-PASS</x:v>
      </x:c>
      <x:c r="N23" s="42" t="str">
        <x:v>EV-P0-002, EV-P0-005, EV-P0-006</x:v>
      </x:c>
      <x:c r="O23" s="42" t="str"/>
      <x:c r="P23" s="42" t="str"/>
      <x:c r="Q23" s="42" t="str"/>
      <x:c r="R23" s="42" t="str">
        <x:v>root</x:v>
      </x:c>
      <x:c r="S23" s="52" t="n">
        <x:v>46269.20805555556</x:v>
      </x:c>
      <x:c r="T23" s="42" t="str">
        <x:v>The real Dock spacer passed again with native motion. The second complete product sweep remains.</x:v>
      </x:c>
    </x:row>
    <x:row r="24">
      <x:c r="A24" s="45" t="str">
        <x:v>PRF-013</x:v>
      </x:c>
      <x:c r="B24" s="45" t="str">
        <x:v>Profiles</x:v>
      </x:c>
      <x:c r="C24" s="45" t="str">
        <x:v>Explicit</x:v>
      </x:c>
      <x:c r="D24" s="42" t="str">
        <x:v>As a user, my folders survive a profile switch.</x:v>
      </x:c>
      <x:c r="E24" s="42" t="str">
        <x:v>dockit does not alter the Dock's folder section.</x:v>
      </x:c>
      <x:c r="F24" s="42" t="str">
        <x:v>Configure folders before switching. Compare folder entries before and after both manual and Focus switches.</x:v>
      </x:c>
      <x:c r="G24" s="42" t="str">
        <x:v>Sources/DockitCore/DockPreferencesClient.swift; Tools/DockProbe.swift</x:v>
      </x:c>
      <x:c r="H24" s="48" t="str">
        <x:v>Ready for retest</x:v>
      </x:c>
      <x:c r="I24" s="48" t="str">
        <x:v>Pass</x:v>
      </x:c>
      <x:c r="J24" s="48" t="str">
        <x:v>Pass</x:v>
      </x:c>
      <x:c r="K24" s="48" t="str">
        <x:v>Not applicable</x:v>
      </x:c>
      <x:c r="L24" s="48" t="str">
        <x:v>Not applicable</x:v>
      </x:c>
      <x:c r="M24" s="42" t="str">
        <x:v>TR-P0-003-NONPROFILE-FAIL, TR-P0-003-NONPROFILE-PASS</x:v>
      </x:c>
      <x:c r="N24" s="42" t="str">
        <x:v>EV-P0-005, EV-P0-006</x:v>
      </x:c>
      <x:c r="O24" s="42" t="str">
        <x:v>DEF-013</x:v>
      </x:c>
      <x:c r="P24" s="42" t="str"/>
      <x:c r="Q24" s="42" t="str">
        <x:v>DockProbe 2026-09-04</x:v>
      </x:c>
      <x:c r="R24" s="42" t="str">
        <x:v>root</x:v>
      </x:c>
      <x:c r="S24" s="52" t="n">
        <x:v>46269.20805555556</x:v>
      </x:c>
      <x:c r="T24" s="42"/>
    </x:row>
    <x:row r="25">
      <x:c r="A25" s="45" t="str">
        <x:v>PRF-014</x:v>
      </x:c>
      <x:c r="B25" s="45" t="str">
        <x:v>Profiles</x:v>
      </x:c>
      <x:c r="C25" s="45" t="str">
        <x:v>Explicit</x:v>
      </x:c>
      <x:c r="D25" s="42" t="str">
        <x:v>As a user, my recent-apps behavior survives a profile switch.</x:v>
      </x:c>
      <x:c r="E25" s="42" t="str">
        <x:v>dockit does not change the recent-apps setting or manage dynamic recent apps.</x:v>
      </x:c>
      <x:c r="F25" s="42" t="str">
        <x:v>Enable recent apps, switch profiles, and confirm the setting and dynamic items retain macOS behavior.</x:v>
      </x:c>
      <x:c r="G25" s="42" t="str">
        <x:v>Sources/DockitCore/DockPreferencesClient.swift; Tools/DockProbe.swift</x:v>
      </x:c>
      <x:c r="H25" s="48" t="str">
        <x:v>Ready for retest</x:v>
      </x:c>
      <x:c r="I25" s="48" t="str">
        <x:v>Pass</x:v>
      </x:c>
      <x:c r="J25" s="48" t="str">
        <x:v>Not applicable</x:v>
      </x:c>
      <x:c r="K25" s="48" t="str">
        <x:v>Not applicable</x:v>
      </x:c>
      <x:c r="L25" s="48" t="str">
        <x:v>Not applicable</x:v>
      </x:c>
      <x:c r="M25" s="42" t="str">
        <x:v>TR-P0-003-NONPROFILE-FAIL, TR-P0-003-NONPROFILE-PASS</x:v>
      </x:c>
      <x:c r="N25" s="42" t="str">
        <x:v>EV-P0-005</x:v>
      </x:c>
      <x:c r="O25" s="42" t="str">
        <x:v>DEF-013</x:v>
      </x:c>
      <x:c r="P25" s="42" t="str"/>
      <x:c r="Q25" s="42" t="str">
        <x:v>DockProbe 2026-09-04</x:v>
      </x:c>
      <x:c r="R25" s="42" t="str">
        <x:v>root</x:v>
      </x:c>
      <x:c r="S25" s="52" t="n">
        <x:v>46269.20805555556</x:v>
      </x:c>
      <x:c r="T25" s="42" t="str">
        <x:v>The recent-app setting remained enabled and macOS rebuilt a valid dynamic recent list.</x:v>
      </x:c>
    </x:row>
    <x:row r="26">
      <x:c r="A26" s="45" t="str">
        <x:v>PRF-015</x:v>
      </x:c>
      <x:c r="B26" s="45" t="str">
        <x:v>Profiles</x:v>
      </x:c>
      <x:c r="C26" s="45" t="str">
        <x:v>Explicit</x:v>
      </x:c>
      <x:c r="D26" s="42" t="str">
        <x:v>As a user, my unrelated Dock preferences survive a profile switch.</x:v>
      </x:c>
      <x:c r="E26" s="42" t="str">
        <x:v>Position, size, magnification, hiding, animation, and other non-profile preferences stay unchanged.</x:v>
      </x:c>
      <x:c r="F26" s="42" t="str">
        <x:v>Use non-default Dock preferences, switch profiles, and compare each setting before and after.</x:v>
      </x:c>
      <x:c r="G26" s="42" t="str">
        <x:v>Sources/DockitCore/DockPreferencesClient.swift; Tools/DockProbe.swift</x:v>
      </x:c>
      <x:c r="H26" s="48" t="str">
        <x:v>Ready for retest</x:v>
      </x:c>
      <x:c r="I26" s="48" t="str">
        <x:v>Pass</x:v>
      </x:c>
      <x:c r="J26" s="48" t="str">
        <x:v>Not applicable</x:v>
      </x:c>
      <x:c r="K26" s="48" t="str">
        <x:v>Not applicable</x:v>
      </x:c>
      <x:c r="L26" s="48" t="str">
        <x:v>Not applicable</x:v>
      </x:c>
      <x:c r="M26" s="42" t="str">
        <x:v>TR-P0-002-SETTINGS, TR-P0-003-NONPROFILE-FAIL, TR-P0-003-NONPROFILE-PASS</x:v>
      </x:c>
      <x:c r="N26" s="42" t="str">
        <x:v>EV-P0-003, EV-P0-005</x:v>
      </x:c>
      <x:c r="O26" s="42" t="str">
        <x:v>DEF-013</x:v>
      </x:c>
      <x:c r="P26" s="42" t="str"/>
      <x:c r="Q26" s="42" t="str"/>
      <x:c r="R26" s="42" t="str">
        <x:v>root</x:v>
      </x:c>
      <x:c r="S26" s="52" t="n">
        <x:v>46269.20805555556</x:v>
      </x:c>
      <x:c r="T26" s="42" t="str">
        <x:v>Non-profile settings passed the final live probe. Full product regression remains.</x:v>
      </x:c>
    </x:row>
    <x:row r="27">
      <x:c r="A27" s="45" t="str">
        <x:v>PRF-016</x:v>
      </x:c>
      <x:c r="B27" s="45" t="str">
        <x:v>Profiles</x:v>
      </x:c>
      <x:c r="C27" s="45" t="str">
        <x:v>Explicit</x:v>
      </x:c>
      <x:c r="D27" s="42" t="str">
        <x:v>As a user, switching a profile never opens or quits apps.</x:v>
      </x:c>
      <x:c r="E27" s="42" t="str">
        <x:v>The set of running processes is unchanged by any profile switch.</x:v>
      </x:c>
      <x:c r="F27" s="42" t="str">
        <x:v>Record running apps, perform manual and Focus switches, and verify each process remains running.</x:v>
      </x:c>
      <x:c r="G27" s="42" t="str">
        <x:v>Tools/DockProbe.swift; Sources/DockitCore/DockApplyCoordinator.swift</x:v>
      </x:c>
      <x:c r="H27" s="48" t="str">
        <x:v>Ready for retest</x:v>
      </x:c>
      <x:c r="I27" s="48" t="str">
        <x:v>Pass</x:v>
      </x:c>
      <x:c r="J27" s="48" t="str">
        <x:v>Pass</x:v>
      </x:c>
      <x:c r="K27" s="48" t="str">
        <x:v>Not applicable</x:v>
      </x:c>
      <x:c r="L27" s="48" t="str">
        <x:v>Not applicable</x:v>
      </x:c>
      <x:c r="M27" s="42" t="str">
        <x:v>TR-P0-002-LIFECYCLE, TR-P0-003-NONPROFILE-PASS</x:v>
      </x:c>
      <x:c r="N27" s="42" t="str">
        <x:v>EV-P0-001, EV-P0-003, EV-P0-005, EV-P0-006</x:v>
      </x:c>
      <x:c r="O27" s="42" t="str"/>
      <x:c r="P27" s="42" t="str"/>
      <x:c r="Q27" s="42" t="str"/>
      <x:c r="R27" s="42" t="str">
        <x:v>root</x:v>
      </x:c>
      <x:c r="S27" s="52" t="n">
        <x:v>46269.20805555556</x:v>
      </x:c>
      <x:c r="T27" s="42" t="str">
        <x:v>Regular apps and windows remained stable during apply and after restore. Full product regression remains.</x:v>
      </x:c>
    </x:row>
    <x:row r="28">
      <x:c r="A28" s="45" t="str">
        <x:v>PRF-017</x:v>
      </x:c>
      <x:c r="B28" s="45" t="str">
        <x:v>Profiles</x:v>
      </x:c>
      <x:c r="C28" s="45" t="str">
        <x:v>Explicit</x:v>
      </x:c>
      <x:c r="D28" s="42" t="str">
        <x:v>As a user, apps I already have open remain in the Dock until I quit them.</x:v>
      </x:c>
      <x:c r="E28" s="42" t="str">
        <x:v>An unpinned running app retains normal macOS Dock visibility after a profile switch and disappears only through normal macOS quit behavior.</x:v>
      </x:c>
      <x:c r="F28" s="42" t="str">
        <x:v>Run an app absent from the destination profile, switch, then quit it. Confirm visibility before and after the quit.</x:v>
      </x:c>
      <x:c r="G28" s="42" t="str"/>
      <x:c r="H28" s="48" t="str">
        <x:v>Ready to build</x:v>
      </x:c>
      <x:c r="I28" s="48" t="str">
        <x:v>Not run</x:v>
      </x:c>
      <x:c r="J28" s="48" t="str">
        <x:v>Not run</x:v>
      </x:c>
      <x:c r="K28" s="48" t="str">
        <x:v>Not run</x:v>
      </x:c>
      <x:c r="L28" s="48" t="str">
        <x:v>Not run</x:v>
      </x:c>
      <x:c r="M28" s="42" t="str"/>
      <x:c r="N28" s="42" t="str"/>
      <x:c r="O28" s="42" t="str"/>
      <x:c r="P28" s="42" t="str"/>
      <x:c r="Q28" s="42" t="str"/>
      <x:c r="R28" s="42" t="str"/>
      <x:c r="S28" s="42" t="str"/>
      <x:c r="T28" s="42"/>
    </x:row>
    <x:row r="29">
      <x:c r="A29" s="45" t="str">
        <x:v>PRF-018</x:v>
      </x:c>
      <x:c r="B29" s="45" t="str">
        <x:v>Editing</x:v>
      </x:c>
      <x:c r="C29" s="45" t="str">
        <x:v>Approved behavior</x:v>
      </x:c>
      <x:c r="D29" s="42" t="str">
        <x:v>As a user, I can add applications to any selected saved Dock.</x:v>
      </x:c>
      <x:c r="E29" s="42" t="str">
        <x:v>The native application picker appends valid applications to the selected profile in the in-app editor. The edit saves locally and does not change the real Dock until I choose apply.</x:v>
      </x:c>
      <x:c r="F29" s="42" t="str">
        <x:v>Select active and inactive profiles, add one or several applications, relaunch, and confirm exact saved order while the real Dock remains unchanged before apply.</x:v>
      </x:c>
      <x:c r="G29" s="42" t="str">
        <x:v>DEC-17; Sources/Dockit/AppModel.swift; Sources/Dockit/ProfileDetailView.swift</x:v>
      </x:c>
      <x:c r="H29" s="48" t="str">
        <x:v>Building</x:v>
      </x:c>
      <x:c r="I29" s="48" t="str">
        <x:v>Not run</x:v>
      </x:c>
      <x:c r="J29" s="48" t="str">
        <x:v>Not run</x:v>
      </x:c>
      <x:c r="K29" s="48" t="str">
        <x:v>Not applicable</x:v>
      </x:c>
      <x:c r="L29" s="48" t="str">
        <x:v>Not run</x:v>
      </x:c>
      <x:c r="M29" s="42" t="str">
        <x:v>TR-CORE-SAFETY-001, TR-EDITOR-LIVE-001, TR-EDITOR-AUTOSAVE-001, TR-CORE-REGRESSION-003, TR-CORE-REGRESSION-004, TR-CODE-REDESIGN-AUDIT-001, TR-APP-HOSTED-FINAL-001, TR-APP-HOSTED-POST-SEPARATOR-001</x:v>
      </x:c>
      <x:c r="N29" s="42" t="str">
        <x:v>EV-EDITOR-002, EV-EDITOR-005, EV-CORE-001, EV-CORE-002, EV-REDESIGN-SOURCE-001, EV-APP-HOSTED-FINAL-001, EV-APP-HOSTED-POST-SEPARATOR-001</x:v>
      </x:c>
      <x:c r="O29" s="42" t="str">
        <x:v>DEF-008, DEF-029</x:v>
      </x:c>
      <x:c r="P29" s="42" t="str">
        <x:v>PRF-019, PRF-020, PRF-021, PRF-022, PRF-024</x:v>
      </x:c>
      <x:c r="Q29" s="42" t="str">
        <x:v>source 2026-09-04</x:v>
      </x:c>
      <x:c r="R29" s="42" t="str">
        <x:v>root</x:v>
      </x:c>
      <x:c r="S29" s="52" t="n">
        <x:v>46269.96274517361</x:v>
      </x:c>
      <x:c r="T29" s="42" t="str">
        <x:v>The previous direct-Dock-editor evidence is historical and does not verify this in-app editor behavior.</x:v>
      </x:c>
    </x:row>
    <x:row r="30">
      <x:c r="A30" s="45" t="str">
        <x:v>PRF-019</x:v>
      </x:c>
      <x:c r="B30" s="45" t="str">
        <x:v>Editing</x:v>
      </x:c>
      <x:c r="C30" s="45" t="str">
        <x:v>Approved behavior</x:v>
      </x:c>
      <x:c r="D30" s="42" t="str">
        <x:v>As a user, I can remove applications from any selected saved Dock.</x:v>
      </x:c>
      <x:c r="E30" s="42" t="str">
        <x:v>Removing selected application items changes only the selected saved profile. The real Dock is unchanged until an explicit apply.</x:v>
      </x:c>
      <x:c r="F30" s="42" t="str">
        <x:v>Remove one and several applications from active and inactive saved profiles, relaunch, undo by reverting where offered, and confirm the real Dock changes only after apply.</x:v>
      </x:c>
      <x:c r="G30" s="42" t="str">
        <x:v>DEC-17; Sources/Dockit/AppModel.swift; Sources/Dockit/ProfileDetailView.swift; Sources/DockitCore/DockItemEditing.swift</x:v>
      </x:c>
      <x:c r="H30" s="48" t="str">
        <x:v>Building</x:v>
      </x:c>
      <x:c r="I30" s="48" t="str">
        <x:v>Not run</x:v>
      </x:c>
      <x:c r="J30" s="48" t="str">
        <x:v>Not run</x:v>
      </x:c>
      <x:c r="K30" s="48" t="str">
        <x:v>Not applicable</x:v>
      </x:c>
      <x:c r="L30" s="48" t="str">
        <x:v>Not run</x:v>
      </x:c>
      <x:c r="M30" s="42" t="str">
        <x:v>TR-EDITOR-LIVE-001, TR-CORE-V2-001</x:v>
      </x:c>
      <x:c r="N30" s="42" t="str">
        <x:v>EV-EDITOR-004, EV-EDITOR-006, EV-CORE-V2-001</x:v>
      </x:c>
      <x:c r="O30" s="42" t="str">
        <x:v>DEF-029</x:v>
      </x:c>
      <x:c r="P30" s="42" t="str"/>
      <x:c r="Q30" s="42" t="str">
        <x:v>source 2026-09-04</x:v>
      </x:c>
      <x:c r="R30" s="42" t="str">
        <x:v>root</x:v>
      </x:c>
      <x:c r="S30" s="52" t="n">
        <x:v>46269.8946090625</x:v>
      </x:c>
      <x:c r="T30" s="42" t="str">
        <x:v>The previous direct-Dock removal evidence does not verify the redesigned editor.</x:v>
      </x:c>
    </x:row>
    <x:row r="31">
      <x:c r="A31" s="45" t="str">
        <x:v>PRF-020</x:v>
      </x:c>
      <x:c r="B31" s="45" t="str">
        <x:v>Editing</x:v>
      </x:c>
      <x:c r="C31" s="45" t="str">
        <x:v>Approved behavior</x:v>
      </x:c>
      <x:c r="D31" s="42" t="str">
        <x:v>As a user, I can reorder saved Dock items with the pointer or keyboard.</x:v>
      </x:c>
      <x:c r="E31" s="42" t="str">
        <x:v>Drag and keyboard commands move the selected application and spacer items as one ordered group inside the selected saved profile. Boundary and invalid drops do not corrupt order.</x:v>
      </x:c>
      <x:c r="F31" s="42" t="str">
        <x:v>Move one, adjacent, and disjoint selections by drag and keyboard at every boundary. Confirm stable relative order, no duplication, persistence, and no real Dock mutation before apply.</x:v>
      </x:c>
      <x:c r="G31" s="42" t="str">
        <x:v>Sources/Dockit/DockPreviewView.swift; Sources/Dockit/AppModel.swift; Sources/DockitCore/DockPreviewDragSession.swift; Sources/DockitCore/DockItemEditing.swift; Tests/DockitAppTests/DockPreviewDragAdapterTests.swift</x:v>
      </x:c>
      <x:c r="H31" s="48" t="str">
        <x:v>Ready for retest</x:v>
      </x:c>
      <x:c r="I31" s="48" t="str">
        <x:v>Blocked</x:v>
      </x:c>
      <x:c r="J31" s="48" t="str">
        <x:v>Not run</x:v>
      </x:c>
      <x:c r="K31" s="48" t="str">
        <x:v>Blocked</x:v>
      </x:c>
      <x:c r="L31" s="48" t="str">
        <x:v>Not run</x:v>
      </x:c>
      <x:c r="M31" s="42" t="str">
        <x:v>TR-EDITOR-LIVE-001, TR-CORE-V2-001, TR-EDITOR-DARK-001, TR-SMALL-SPACER-KEYBOARD-LIGHT-001, TR-PREVIEW-ADJACENT-GROUP-DRAG-LIGHT-INCONCLUSIVE-001, TR-PREVIEW-DISJOINT-BOUNDARY-MENU-MISMATCH-RED-001, TR-PREVIEW-SINGLE-ITEM-DRAG-LIGHT-INCONCLUSIVE-001, TR-REFERENCE-FRAMES-000030-000070-001, TR-PREVIEW-BOUNDARY-ACTION-ENABLEMENT-GREEN-001, TR-PREVIEW-CONTINUOUS-REFLOW-SOURCE-RED-001, TR-NATIVE-DRAG-DIAGNOSTIC-COMPILE-RED-001, TR-NATIVE-DRAG-DIAGNOSTIC-COMPILE-GREEN-001, TR-NATIVE-DRAG-CALLBACK-TRACE-001, TR-REFERENCE-FRAMES-000071-000090-001, TR-NATIVE-DRAG-MINIMAL-CONTROL-PROBE-001, TR-BOUNDARY-DRAG-DIAGNOSTIC-CLEANUP-GREEN-001, TR-BOUNDARY-DRAG-POST-CLEANUP-APPEARANCE-BLOCKED-001, TR-FLAT-TESTS-073-085, TR-FLAT-FINAL-HOSTED, TR-NATIVE-DRAG-FLAT-INCONCLUSIVE, TR-FINAL-KEYBOARD-GROUP-BOUNDED, TR-FINAL-CORE-TOOLS-REGRESSION</x:v>
      </x:c>
      <x:c r="N31" s="42" t="str">
        <x:v>EV-EDITOR-003, EV-CORE-V2-001, EV-EDITOR-DARK-SELECTION-001, EV-EDITOR-DARK-REORDER-001, EV-SMALL-SPACER-KEYBOARD-LIGHT-001, EV-PREVIEW-ADJACENT-GROUP-DRAG-LIGHT-INCONCLUSIVE-001, EV-PREVIEW-DISJOINT-BOUNDARY-MENU-MISMATCH-RED-001, EV-PREVIEW-SINGLE-ITEM-DRAG-LIGHT-INCONCLUSIVE-001, EV-REFERENCE-FRAMES-000030-000070-001, EV-PREVIEW-BOUNDARY-ACTION-ENABLEMENT-GREEN-001, EV-PREVIEW-CONTINUOUS-REFLOW-SOURCE-RED-001, EV-NATIVE-DRAG-DIAGNOSTIC-COMPILE-RED-001, EV-NATIVE-DRAG-DIAGNOSTIC-COMPILE-GREEN-001, EV-NATIVE-DRAG-CALLBACK-TRACE-001, EV-REFERENCE-FRAMES-000071-000090-001, EV-NATIVE-DRAG-MINIMAL-CONTROL-PROBE-001, EV-BOUNDARY-DRAG-DIAGNOSTIC-CLEANUP-GREEN-001, EV-BOUNDARY-DRAG-POST-CLEANUP-APPEARANCE-BLOCKED-001, EV-FLAT-TESTS-073-085, EV-FLAT-FINAL-HOSTED, EV-NATIVE-DRAG-FLAT-INCONCLUSIVE, EV-FINAL-KEYBOARD-GROUP-BOUNDED, EV-FINAL-CORE-TOOLS-REGRESSION</x:v>
      </x:c>
      <x:c r="O31" s="42" t="str">
        <x:v>DEF-044, DEF-075, DEF-076, DEF-077, DEF-081, DEF-084, DEF-085, DEF-087</x:v>
      </x:c>
      <x:c r="P31" s="42" t="str"/>
      <x:c r="Q31" s="42" t="str">
        <x:v>flat-feedback-final, macOS 26.6, ad-hoc isolated demo 2026-09-05</x:v>
      </x:c>
      <x:c r="R31" s="42" t="str">
        <x:v>root</x:v>
      </x:c>
      <x:c r="S31" s="52" t="n">
        <x:v>46270.7487774537</x:v>
      </x:c>
      <x:c r="T31" s="42" t="str">
        <x:v>Current light keyboard group reorder, boundary no-op and reversal pass in the isolated demo. Core and hosted contracts pass. Pointer delivery, grouped drag interruption, VoiceOver and actual motion remain unverified.</x:v>
      </x:c>
    </x:row>
    <x:row r="32">
      <x:c r="A32" s="45" t="str">
        <x:v>PRF-021</x:v>
      </x:c>
      <x:c r="B32" s="45" t="str">
        <x:v>Editing</x:v>
      </x:c>
      <x:c r="C32" s="45" t="str">
        <x:v>Approved behavior</x:v>
      </x:c>
      <x:c r="D32" s="42" t="str">
        <x:v>As a user, I can add regular and small spacers to any selected saved Dock.</x:v>
      </x:c>
      <x:c r="E32" s="42" t="str">
        <x:v>Spacer actions append the chosen spacer size to the selected saved profile and persist it without changing the real Dock until apply.</x:v>
      </x:c>
      <x:c r="F32" s="42" t="str">
        <x:v>Add both spacer sizes to active and inactive profiles, relaunch, inspect exact order, then apply and verify the real Dock.</x:v>
      </x:c>
      <x:c r="G32" s="42" t="str">
        <x:v>DEC-17; Sources/Dockit/AppModel.swift; Sources/Dockit/ProfileDetailView.swift; Sources/DockitCore/DockModels.swift</x:v>
      </x:c>
      <x:c r="H32" s="48" t="str">
        <x:v>Building</x:v>
      </x:c>
      <x:c r="I32" s="48" t="str">
        <x:v>Not run</x:v>
      </x:c>
      <x:c r="J32" s="48" t="str">
        <x:v>Not run</x:v>
      </x:c>
      <x:c r="K32" s="48" t="str">
        <x:v>Not applicable</x:v>
      </x:c>
      <x:c r="L32" s="48" t="str">
        <x:v>Not run</x:v>
      </x:c>
      <x:c r="M32" s="42" t="str">
        <x:v>TR-EDITOR-LIVE-001, TR-CORE-V2-001, TR-SMALL-SPACER-KEYBOARD-LIGHT-001, TR-REFERENCE-SPACER-INSERTION-AUDIT-001, TR-REFERENCE-FRAMES-000500-000540-MERGE-001, TR-REGULAR-SPACER-PAINT-GREEN-001, TR-INTERACTION-SWEEP-001</x:v>
      </x:c>
      <x:c r="N32" s="42" t="str">
        <x:v>EV-EDITOR-001, EV-CORE-V2-001, EV-SMALL-SPACER-KEYBOARD-LIGHT-001, EV-REFERENCE-SPACER-INSERTION-AUDIT-001, EV-REFERENCE-FRAMES-000500-000540-MERGE-001, EV-REGULAR-SPACER-PAINT-GREEN-001, EV-INTERACTION-SWEEP-001</x:v>
      </x:c>
      <x:c r="O32" s="42" t="str">
        <x:v>DEF-029, DEF-071</x:v>
      </x:c>
      <x:c r="P32" s="42" t="str"/>
      <x:c r="Q32" s="42" t="str">
        <x:v>source 2026-09-04</x:v>
      </x:c>
      <x:c r="R32" s="42" t="str">
        <x:v>root</x:v>
      </x:c>
      <x:c r="S32" s="52" t="n">
        <x:v>46271.13642766204</x:v>
      </x:c>
      <x:c r="T32" s="42" t="str">
        <x:v>The former real-Dock spacer flow is superseded and needs a new editor retest.</x:v>
      </x:c>
    </x:row>
    <x:row r="33">
      <x:c r="A33" s="45" t="str">
        <x:v>PRF-022</x:v>
      </x:c>
      <x:c r="B33" s="45" t="str">
        <x:v>Editing</x:v>
      </x:c>
      <x:c r="C33" s="45" t="str">
        <x:v>Approved behavior</x:v>
      </x:c>
      <x:c r="D33" s="42" t="str">
        <x:v>As a user, I can move or remove saved spacer items with the same editor actions as applications.</x:v>
      </x:c>
      <x:c r="E33" s="42" t="str">
        <x:v>Spacer items participate in selection, group movement, keyboard commands, drag reordering, and removal without losing their regular or small size.</x:v>
      </x:c>
      <x:c r="F33" s="42" t="str">
        <x:v>Select mixed applications and both spacer sizes, move and remove them at boundaries, relaunch, and verify exact type and order before and after apply.</x:v>
      </x:c>
      <x:c r="G33" s="42" t="str">
        <x:v>DEC-17; Sources/DockitCore/DockItemEditing.swift; Tests/DockitCoreTests/DockItemEditingTests.swift; Sources/Dockit/ProfileDetailView.swift</x:v>
      </x:c>
      <x:c r="H33" s="48" t="str">
        <x:v>Ready for test</x:v>
      </x:c>
      <x:c r="I33" s="48" t="str">
        <x:v>Pass</x:v>
      </x:c>
      <x:c r="J33" s="48" t="str">
        <x:v>Not run</x:v>
      </x:c>
      <x:c r="K33" s="48" t="str">
        <x:v>Not run</x:v>
      </x:c>
      <x:c r="L33" s="48" t="str">
        <x:v>Not run</x:v>
      </x:c>
      <x:c r="M33" s="42" t="str">
        <x:v>TR-EDITOR-LIVE-001, TR-CORE-V2-001, TR-SMALL-SPACER-KEYBOARD-LIGHT-001, TR-PREVIEW-RANGE-SELECTION-LIGHT-GREEN-001</x:v>
      </x:c>
      <x:c r="N33" s="42" t="str">
        <x:v>EV-EDITOR-004, EV-EDITOR-006, EV-CORE-V2-001, EV-SMALL-SPACER-KEYBOARD-LIGHT-001, EV-PREVIEW-RANGE-SELECTION-LIGHT-GREEN-001</x:v>
      </x:c>
      <x:c r="O33" s="42" t="str"/>
      <x:c r="P33" s="42" t="str"/>
      <x:c r="Q33" s="42" t="str">
        <x:v>source 2026-09-04</x:v>
      </x:c>
      <x:c r="R33" s="42" t="str">
        <x:v>root</x:v>
      </x:c>
      <x:c r="S33" s="52" t="n">
        <x:v>46270.03853494213</x:v>
      </x:c>
      <x:c r="T33" s="42" t="str">
        <x:v>Core order and type preservation pass. Light keyboard range selection now visibly includes and excludes a Regular spacer with matching accessibility selected traits. Group pointer drag, removal, both spacer sizes, persistence, apply, VoiceOver speech, and remaining interaction states still need evidence.</x:v>
      </x:c>
    </x:row>
    <x:row r="34">
      <x:c r="A34" s="45" t="str">
        <x:v>PRF-023</x:v>
      </x:c>
      <x:c r="B34" s="45" t="str">
        <x:v>Editing</x:v>
      </x:c>
      <x:c r="C34" s="45" t="str">
        <x:v>Approved behavior</x:v>
      </x:c>
      <x:c r="D34" s="42" t="str">
        <x:v>As a user, I can manage one selected saved Dock on a focused single page.</x:v>
      </x:c>
      <x:c r="E34" s="42" t="str">
        <x:v>The fixed 620 by 252 point outer editor uses a compact reference-matched identity header, profile picker, neutral use this dock and edit dock actions, and two-layer horizontal preview. Edits save any selected profile without applying it. Advanced editing opens through dock details in a separate sheet.</x:v>
      </x:c>
      <x:c r="F34" s="42" t="str">
        <x:v>Measure actual outer frame after launch and reopening. Inspect light and dark editor, both spacer widths, full 32-grapheme names, long horizontal layouts and detail-sheet keyboard editing. Confirm no main vertical scrolling, resizing or automatic text truncation.</x:v>
      </x:c>
      <x:c r="G34" s="42" t="str">
        <x:v>Sources/Dockit/DockitApp.swift; Sources/Dockit/ProfileDetailView.swift; Sources/Dockit/DockDetailsView.swift; DEC-30</x:v>
      </x:c>
      <x:c r="H34" s="48" t="str">
        <x:v>Fixing</x:v>
      </x:c>
      <x:c r="I34" s="48" t="str">
        <x:v>Pass</x:v>
      </x:c>
      <x:c r="J34" s="48" t="str">
        <x:v>Fail</x:v>
      </x:c>
      <x:c r="K34" s="48" t="str">
        <x:v>Not run</x:v>
      </x:c>
      <x:c r="L34" s="48" t="str">
        <x:v>Not run</x:v>
      </x:c>
      <x:c r="M34" s="42" t="str">
        <x:v>TR-FIRST-LAUNCH-001, TR-EDITOR-LIVE-001, TR-CODE-REDESIGN-AUDIT-001, TR-EDITOR-DARK-001, TR-REFERENCE-DETAIL-VISUAL-001, TR-LIQUID-GLASS-FIRST-RETEST-001, TR-REFERENCE-FRAME-000000-REVIEW-001, TR-PROFILE-COLOR-PALETTE-001, TR-LONG-NAME-MINIMUM-LIGHT-001, TR-SMALL-SPACER-KEYBOARD-LIGHT-001, TR-EDITOR-FINAL-CHROME-001, TR-DETAILS-SCROLL-BOUNDARY-RED-001, TR-DETAILS-INDEPENDENT-SCROLL-GREEN-001, TR-REFERENCE-CONTINUOUS-SURFACE-AUDIT-001, TR-TITLEBAR-CONTINUOUS-SURFACE-GREEN-001, TR-REFERENCE-FRAMES-000006-000029-001, TR-PICKER-GEOMETRY-PROBE-RED-001, TR-PICKER-GEOMETRY-WRAPPER-PROBE-RED-001, TR-PICKER-NATIVE-BACKGROUND-PROBE-RED-001, TR-PICKER-HOSTED-SWIFTUI-PROBE-RED-001, TR-NATIVE-PICKER-ACTOR-COMPILE-RED-001, TR-NATIVE-PICKER-CELL-HOSTED-GREEN-001, TR-NATIVE-PICKER-BLANK-DISPLAY-RED-001, TR-NATIVE-PICKER-CELL-LIGHT-RED-001, TR-NATIVE-PICKER-BORDER-CELL-HOSTED-GREEN-001, TR-NATIVE-PICKER-BORDER-CELL-RUNTIME-RED-001, TR-NATIVE-PICKER-SHARED-GLASS-PARTIAL-001, TR-NATIVE-PICKER-FINAL-LAYOUT-HOSTED-GREEN-001, TR-NATIVE-PICKER-COMMON-INSET-HOSTED-GREEN-001, TR-NATIVE-PICKER-COMMON-INSET-RUNTIME-GREEN-001, TR-REFERENCE-FRAMES-000030-000070-001, TR-REFERENCE-FRAMES-000071-000090-001, TR-REFERENCE-EDITOR-HOSTED-001, TR-REFERENCE-EDITOR-STATIC-001, TR-REFERENCE-EDITOR-FINAL-BUILD-001</x:v>
      </x:c>
      <x:c r="N34" s="42" t="str">
        <x:v>EV-SETUP-004, EV-SETUP-005, EV-EDITOR-001, EV-EDITOR-002, EV-EDITOR-003, EV-EDITOR-004, EV-REDESIGN-SOURCE-001, EV-EDITOR-DARK-DEFAULT-001, EV-EDITOR-DARK-MINIMUM-001, EV-DETAILS-DARK-MINIMUM-001, EV-REFERENCE-DETAIL-APP-BEFORE-001, EV-REFERENCE-FRAME-000000-001, EV-LIQUID-GLASS-REVIEW-001, EV-LIQUID-GLASS-FIRST-AFTER-001, EV-LIQUID-GLASS-FOCUSED-CONTRAST-001, EV-REFERENCE-FRAME-000000-ANNOTATION-001, EV-PROFILE-COLOR-TESTS-001, EV-PROFILE-COLOR-AUDIT-001, EV-LONG-NAME-MINIMUM-LIGHT-001, EV-SMALL-SPACER-KEYBOARD-LIGHT-001, EV-EDITOR-FINAL-CHROME-LIGHT-001, EV-EDITOR-FINAL-CHROME-DARK-001, EV-DETAILS-SCROLL-BOUNDARY-RED-001, EV-DETAILS-INDEPENDENT-OPEN-001, EV-DETAILS-INDEPENDENT-SCROLLED-001, EV-REFERENCE-CONTINUOUS-SURFACE-001, EV-TITLEBAR-CONTINUOUS-LIGHT-001, EV-TITLEBAR-CONTINUOUS-DARK-001, EV-TITLEBAR-CONTINUOUS-BUILD-001, EV-REFERENCE-FRAMES-000006-000029-001, EV-PICKER-GEOMETRY-PROBE-RED-001, EV-PICKER-GEOMETRY-WRAPPER-PROBE-RED-001, EV-PICKER-NATIVE-BACKGROUND-PROBE-RED-001, EV-PICKER-HOSTED-SWIFTUI-PROBE-RED-001, EV-NATIVE-PICKER-ACTOR-COMPILE-RED-001, EV-NATIVE-PICKER-CELL-HOSTED-GREEN-001, EV-NATIVE-PICKER-BLANK-DISPLAY-RED-001, EV-NATIVE-PICKER-CELL-LIGHT-RED-001, EV-NATIVE-PICKER-BORDER-CELL-HOSTED-GREEN-001, EV-NATIVE-PICKER-BORDER-CELL-RUNTIME-RED-001, EV-NATIVE-PICKER-SHARED-GLASS-PARTIAL-001, EV-NATIVE-PICKER-FINAL-LAYOUT-HOSTED-GREEN-001, EV-NATIVE-PICKER-COMMON-INSET-HOSTED-GREEN-001, EV-NATIVE-PICKER-COMMON-INSET-RUNTIME-GREEN-001, EV-REFERENCE-FRAMES-000030-000070-001, EV-REFERENCE-FRAMES-000071-000090-001, EV-REFERENCE-EDITOR-HOSTED-001, EV-REFERENCE-EDITOR-STATIC-001</x:v>
      </x:c>
      <x:c r="O34" s="42" t="str">
        <x:v>DEF-060, DEF-061, DEF-062, DEF-063, DEF-064, DEF-065, DEF-066, DEF-068, DEF-072, DEF-074, DEF-079, DEF-080, DEF-081</x:v>
      </x:c>
      <x:c r="P34" s="42" t="str"/>
      <x:c r="Q34" s="42" t="str">
        <x:v>source 2026-09-04</x:v>
      </x:c>
      <x:c r="R34" s="42" t="str">
        <x:v>root</x:v>
      </x:c>
      <x:c r="S34" s="52" t="n">
        <x:v>46270.404052881946</x:v>
      </x:c>
      <x:c r="T34" s="42" t="str">
        <x:v>The fixed outer window, two-layer preview and details sheet are implemented. First light static comparison found picker, focus and composition differences. Latest candidates compile but need live comparison, long-name checks and separate dark evidence.</x:v>
      </x:c>
    </x:row>
    <x:row r="35">
      <x:c r="A35" s="45" t="str">
        <x:v>PRF-024</x:v>
      </x:c>
      <x:c r="B35" s="45" t="str">
        <x:v>Reconciliation</x:v>
      </x:c>
      <x:c r="C35" s="45" t="str">
        <x:v>Safety guardrail</x:v>
      </x:c>
      <x:c r="D35" s="42" t="str">
        <x:v>As a user, a normal external Dock edit updates only the active saved profile.</x:v>
      </x:c>
      <x:c r="E35" s="42" t="str">
        <x:v>When no saved edits are pending, dockit reconciles the observed app and spacer order into the active profile only. Inactive profiles remain byte-for-byte unchanged and unavailable saved apps are retained.</x:v>
      </x:c>
      <x:c r="F35" s="42" t="str">
        <x:v>Prepare active and inactive profiles including unavailable apps, edit the real Dock, wait for autosave, and compare every profile, saved order, unavailable entry, and applied baseline.</x:v>
      </x:c>
      <x:c r="G35" s="42" t="str">
        <x:v>DEC-18; Sources/Dockit/AppModel.swift; Sources/DockitCore/DockProfileReconciliation.swift; Tests/DockitCoreTests/DockProfileReconciliationTests.swift</x:v>
      </x:c>
      <x:c r="H35" s="48" t="str">
        <x:v>Ready for retest</x:v>
      </x:c>
      <x:c r="I35" s="48" t="str">
        <x:v>Pass</x:v>
      </x:c>
      <x:c r="J35" s="48" t="str">
        <x:v>Not run</x:v>
      </x:c>
      <x:c r="K35" s="48" t="str">
        <x:v>Not applicable</x:v>
      </x:c>
      <x:c r="L35" s="48" t="str">
        <x:v>Not run</x:v>
      </x:c>
      <x:c r="M35" s="42" t="str">
        <x:v>TR-CORE-V2-001, TR-APP-MODEL-GREEN-001, TR-APP-HOSTED-FINAL-001, TR-APP-HOSTED-POST-SEPARATOR-001</x:v>
      </x:c>
      <x:c r="N35" s="42" t="str">
        <x:v>EV-CORE-V2-001, EV-APP-MODEL-GREEN-001, EV-APP-HOSTED-FINAL-001, EV-APP-HOSTED-POST-SEPARATOR-001</x:v>
      </x:c>
      <x:c r="O35" s="42" t="str">
        <x:v>DEF-033, DEF-040, DEF-041</x:v>
      </x:c>
      <x:c r="P35" s="42" t="str"/>
      <x:c r="Q35" s="42" t="str">
        <x:v>source 2026-09-04</x:v>
      </x:c>
      <x:c r="R35" s="42" t="str">
        <x:v>root</x:v>
      </x:c>
      <x:c r="S35" s="52" t="n">
        <x:v>46269.962745185185</x:v>
      </x:c>
      <x:c r="T35" s="42" t="str">
        <x:v>Core reconciliation and hosted model checks preserve unavailable entries and a retryable autosave buffer. A live external Dock autosave test is still required.</x:v>
      </x:c>
    </x:row>
    <x:row r="36">
      <x:c r="A36" s="45" t="str">
        <x:v>PRF-025</x:v>
      </x:c>
      <x:c r="B36" s="45" t="str">
        <x:v>Reconciliation</x:v>
      </x:c>
      <x:c r="C36" s="45" t="str">
        <x:v>Safety guardrail</x:v>
      </x:c>
      <x:c r="D36" s="42" t="str">
        <x:v>As a user, dockit's own apply operation never becomes an external edit or partial saved draft.</x:v>
      </x:c>
      <x:c r="E36" s="42" t="str">
        <x:v>Apply requests serialize, monitor feedback is suppressed for the verified result, equivalent layouts skip the restart, and only the complete intended layout becomes applied.</x:v>
      </x:c>
      <x:c r="F36" s="42" t="str">
        <x:v>Issue rapid apply requests and monitor callbacks around no-op, success, stale-baseline, verification-failure, and rollback cases. Inspect every saved and applied layout afterward.</x:v>
      </x:c>
      <x:c r="G36" s="42" t="str">
        <x:v>DEC-16; DEC-18; Sources/Dockit/AppModel.swift; Sources/DockitCore/DockActivationService.swift; Sources/DockitCore/DockApplyCoordinator.swift; Sources/DockitCore/DockChangeMonitor.swift</x:v>
      </x:c>
      <x:c r="H36" s="48" t="str">
        <x:v>Ready for retest</x:v>
      </x:c>
      <x:c r="I36" s="48" t="str">
        <x:v>Pass</x:v>
      </x:c>
      <x:c r="J36" s="48" t="str">
        <x:v>Not run</x:v>
      </x:c>
      <x:c r="K36" s="48" t="str">
        <x:v>Not run</x:v>
      </x:c>
      <x:c r="L36" s="48" t="str">
        <x:v>Not applicable</x:v>
      </x:c>
      <x:c r="M36" s="42" t="str">
        <x:v>TR-CODE-AUDIT-001, TR-ACTIVATION-QUEUE-001, TR-METADATA-001, TR-METADATA-002, TR-CORE-REGRESSION-003, TR-CORE-REGRESSION-004, TR-CORE-V2-001, TR-APP-MODEL-GREEN-001, TR-FOCUS-MODEL-GREEN-001, TR-ACTIVATION-DUPLICATE-AUDIT-001, TR-ACTIVATION-RELINK-RED-001, TR-ACTIVATION-RELINK-GREEN-001, TR-ACTIVATION-RELINK-GREEN-002, TR-LEDGER-LIQUID-CHECKPOINT-001, TR-APP-HOSTED-FINAL-001, TR-APP-HOSTED-POST-SEPARATOR-001, TR-RECOVERY-MODEL-20260906, TR-FULL-AUTOMATED-20260906</x:v>
      </x:c>
      <x:c r="N36" s="42" t="str">
        <x:v>EV-ACT-002, EV-METADATA-001, EV-CORE-001, EV-CORE-002, EV-MOTION-001, EV-CORE-V2-001, EV-APP-MODEL-GREEN-001, EV-FOCUS-MODEL-GREEN-001, EV-ACTIVATION-DUPLICATE-AUDIT-001, EV-ACTIVATION-RELINK-RED-001, EV-ACTIVATION-RELINK-GREEN-001, EV-ACTIVATION-RELINK-GREEN-002, EV-ACTIVATION-RELINK-SUMMARY-001, EV-LEDGER-ACTIVATION-GLASS-001, EV-APP-HOSTED-FINAL-001, EV-APP-HOSTED-POST-SEPARATOR-001, EV-RECOVERY-MODEL-20260906, EV-FULL-AUTOMATED-20260906</x:v>
      </x:c>
      <x:c r="O36" s="42" t="str">
        <x:v>DEF-006, DEF-020, DEF-031, DEF-042, DEF-043, DEF-056</x:v>
      </x:c>
      <x:c r="P36" s="42" t="str">
        <x:v>PRF-003, PRF-004, PRF-007, PRF-010, PRF-018, PRF-027, REL-001, REL-002</x:v>
      </x:c>
      <x:c r="Q36" s="42" t="str">
        <x:v>source 2026-09-04</x:v>
      </x:c>
      <x:c r="R36" s="42" t="str">
        <x:v>root</x:v>
      </x:c>
      <x:c r="S36" s="52" t="n">
        <x:v>46271.263595439814</x:v>
      </x:c>
      <x:c r="T36" s="42" t="str">
        <x:v>The serialized queue now keeps duplicate and returning callers pending through verification, preserves newest source metadata, and passes failure cases twice. Real Dock race and monitor regression remain open.</x:v>
      </x:c>
    </x:row>
    <x:row r="37">
      <x:c r="A37" s="45" t="str">
        <x:v>PRF-026</x:v>
      </x:c>
      <x:c r="B37" s="45" t="str">
        <x:v>Reconciliation</x:v>
      </x:c>
      <x:c r="C37" s="45" t="str">
        <x:v>Approved behavior</x:v>
      </x:c>
      <x:c r="D37" s="42" t="str">
        <x:v>As a user, dockit asks before resolving a real Dock change that conflicts with saved edits.</x:v>
      </x:c>
      <x:c r="E37" s="42" t="str">
        <x:v>On launch or monitor detection, dockit compares the accepted applied baseline, saved layout, and real Dock. It preserves both versions, explains the conflict, and performs only the resolution I choose.</x:v>
      </x:c>
      <x:c r="F37" s="42" t="str">
        <x:v>Create saved pending edits, change the real Dock while dockit is closed and while it is running, then test keep current as a new profile, replace saved with current, apply saved, cancel, and a second Dock change after review.</x:v>
      </x:c>
      <x:c r="G37" s="42" t="str">
        <x:v>DEC-18; Sources/Dockit/AppModel.swift; Sources/Dockit/ReconciliationView.swift; Sources/DockitCore/DockActivationService.swift; Sources/DockitCore/DockChangeMonitor.swift</x:v>
      </x:c>
      <x:c r="H37" s="48" t="str">
        <x:v>Ready for retest</x:v>
      </x:c>
      <x:c r="I37" s="48" t="str">
        <x:v>Pass</x:v>
      </x:c>
      <x:c r="J37" s="48" t="str">
        <x:v>Not run</x:v>
      </x:c>
      <x:c r="K37" s="48" t="str">
        <x:v>Not run</x:v>
      </x:c>
      <x:c r="L37" s="48" t="str">
        <x:v>Not run</x:v>
      </x:c>
      <x:c r="M37" s="42" t="str">
        <x:v>TR-METADATA-001, TR-METADATA-002, TR-RECONCILE-001, TR-RECONCILE-APPLY-001, TR-RECONCILE-APPLY-002, TR-RECONCILE-SAVE-001, TR-CORE-REGRESSION-003, TR-CORE-REGRESSION-004, TR-CORE-V2-001, TR-APP-MODEL-GREEN-001, TR-FOCUS-MODEL-GREEN-001, TR-APP-HOSTED-FINAL-001, TR-APP-HOSTED-POST-SEPARATOR-001</x:v>
      </x:c>
      <x:c r="N37" s="42" t="str">
        <x:v>EV-METADATA-001, EV-RECON-001, EV-RECON-002, EV-RECON-003, EV-RECON-004, EV-RECON-005, EV-CORE-002, EV-CORE-V2-001, EV-APP-MODEL-GREEN-001, EV-FOCUS-MODEL-GREEN-001, EV-APP-HOSTED-FINAL-001, EV-APP-HOSTED-POST-SEPARATOR-001</x:v>
      </x:c>
      <x:c r="O37" s="42" t="str">
        <x:v>DEF-019, DEF-020, DEF-031, DEF-039, DEF-043</x:v>
      </x:c>
      <x:c r="P37" s="42" t="str"/>
      <x:c r="Q37" s="42" t="str">
        <x:v>source 2026-09-04</x:v>
      </x:c>
      <x:c r="R37" s="42" t="str">
        <x:v>root</x:v>
      </x:c>
      <x:c r="S37" s="52" t="n">
        <x:v>46269.96274520834</x:v>
      </x:c>
      <x:c r="T37" s="42" t="str">
        <x:v>Hosted model tests pass pending-edit conflict preservation, keep-current recovery, unknown baseline handling, and request-scoped reviewed snapshots. The visible reconciliation sheet and live Dock race remain unverified.</x:v>
      </x:c>
    </x:row>
    <x:row r="38">
      <x:c r="A38" s="45" t="str">
        <x:v>PRF-027</x:v>
      </x:c>
      <x:c r="B38" s="45" t="str">
        <x:v>Persistence</x:v>
      </x:c>
      <x:c r="C38" s="45" t="str">
        <x:v>Explicit</x:v>
      </x:c>
      <x:c r="D38" s="42" t="str">
        <x:v>As a user, my saved Dock profiles remain after quitting and reopening Dockit.</x:v>
      </x:c>
      <x:c r="E38" s="42" t="str">
        <x:v>Names, colors, app order, spacers, and active metadata reload correctly.</x:v>
      </x:c>
      <x:c r="F38" s="42" t="str">
        <x:v>Create and edit profiles, quit dockit, relaunch, and compare every saved field.</x:v>
      </x:c>
      <x:c r="G38" s="42" t="str">
        <x:v>Sources/Dockit/AppModel.swift; Sources/Dockit/DockMenuCoordinator.swift</x:v>
      </x:c>
      <x:c r="H38" s="48" t="str">
        <x:v>Ready for test</x:v>
      </x:c>
      <x:c r="I38" s="48" t="str">
        <x:v>Pass</x:v>
      </x:c>
      <x:c r="J38" s="48" t="str">
        <x:v>Pass</x:v>
      </x:c>
      <x:c r="K38" s="48" t="str">
        <x:v>Not applicable</x:v>
      </x:c>
      <x:c r="L38" s="48" t="str">
        <x:v>Not run</x:v>
      </x:c>
      <x:c r="M38" s="42" t="str">
        <x:v>TR-CODE-AUDIT-001, TR-LIFECYCLE-001, TR-RECONCILE-SAVE-001, TR-CORE-REGRESSION-003, TR-CORE-REGRESSION-004, TR-LIBRARY-ATOMIC-SAVE-FINAL, TR-LIBRARY-ATOMIC-SAVE-HOSTED, TR-RETRY-STALE-ALERT-AUTO-RED, TR-RETRY-STALE-ALERT-AUTO-GREEN, TR-RETRY-STALE-ALERT-LIVE-GREEN, TR-RECOVERY-MODEL-20260906, TR-FULL-AUTOMATED-20260906</x:v>
      </x:c>
      <x:c r="N38" s="42" t="str">
        <x:v>EV-LIFE-001, EV-RECON-004, EV-CORE-002, EV-LIBRARY-ATOMIC-SAVE-FINAL, EV-LIBRARY-ATOMIC-SAVE-HOSTED, EV-RETRY-STALE-ALERT-AUTO-RED, EV-RETRY-STALE-ALERT-GREEN, EV-RECOVERY-MODEL-20260906, EV-FULL-AUTOMATED-20260906</x:v>
      </x:c>
      <x:c r="O38" s="42" t="str">
        <x:v>DEF-011, DEF-092, DEF-095</x:v>
      </x:c>
      <x:c r="P38" s="42" t="str">
        <x:v>PRF-003, PRF-004</x:v>
      </x:c>
      <x:c r="Q38" s="42" t="str">
        <x:v>Signed Debug 2026-09-04</x:v>
      </x:c>
      <x:c r="R38" s="42" t="str">
        <x:v>root</x:v>
      </x:c>
      <x:c r="S38" s="52" t="n">
        <x:v>46271.263595462966</x:v>
      </x:c>
      <x:c r="T38" s="42" t="str">
        <x:v>A normal quit and relaunch retained the active profile and item state. Immediate quit inside the rename or color debounce window still needs a recorded retest.</x:v>
      </x:c>
    </x:row>
    <x:row r="39">
      <x:c r="A39" s="45" t="str">
        <x:v>MEN-001</x:v>
      </x:c>
      <x:c r="B39" s="45" t="str">
        <x:v>Menus</x:v>
      </x:c>
      <x:c r="C39" s="45" t="str">
        <x:v>Settled</x:v>
      </x:c>
      <x:c r="D39" s="42" t="str">
        <x:v>As a user, I can switch Docks from a native app menu.</x:v>
      </x:c>
      <x:c r="E39" s="42" t="str">
        <x:v>The primary menu lists profiles, shows active state, supports keyboard navigation, and performs the same safe apply path as the main window.</x:v>
      </x:c>
      <x:c r="F39" s="42" t="str">
        <x:v>Use every menu entry with mouse and keyboard. Compare menu result to direct selection.</x:v>
      </x:c>
      <x:c r="G39" s="42" t="str">
        <x:v>Sources/Dockit/DockMenuCoordinator.swift; Sources/Dockit/AppModel.swift</x:v>
      </x:c>
      <x:c r="H39" s="48" t="str">
        <x:v>Ready for retest</x:v>
      </x:c>
      <x:c r="I39" s="48" t="str">
        <x:v>Not run</x:v>
      </x:c>
      <x:c r="J39" s="48" t="str">
        <x:v>Not run</x:v>
      </x:c>
      <x:c r="K39" s="48" t="str">
        <x:v>Not run</x:v>
      </x:c>
      <x:c r="L39" s="48" t="str">
        <x:v>Not run</x:v>
      </x:c>
      <x:c r="M39" s="42" t="str">
        <x:v>TR-MENU-SWITCH-001, TR-CODE-REDESIGN-AUDIT-001, TR-APP-HOSTED-FINAL-001, TR-APP-HOSTED-POST-SEPARATOR-001, TR-SHARED-MENU-RUNTIME, TR-MANAGE-MENU-SYMBOL-001</x:v>
      </x:c>
      <x:c r="N39" s="42" t="str">
        <x:v>EV-MENU-001, EV-REDESIGN-SOURCE-001, EV-APP-HOSTED-FINAL-001, EV-APP-HOSTED-POST-SEPARATOR-001, EV-SHARED-MENU-RUNTIME, EV-MANAGE-MENU-SYMBOL-001</x:v>
      </x:c>
      <x:c r="O39" s="42" t="str">
        <x:v>DEF-035</x:v>
      </x:c>
      <x:c r="P39" s="42" t="str"/>
      <x:c r="Q39" s="42" t="str">
        <x:v>source 2026-09-04</x:v>
      </x:c>
      <x:c r="R39" s="42" t="str">
        <x:v>root</x:v>
      </x:c>
      <x:c r="S39" s="52" t="n">
        <x:v>46271.10680342592</x:v>
      </x:c>
      <x:c r="T39" s="42" t="str">
        <x:v>Actual application-menu success, current-profile reapplication, settings, management and quit work in the isolated demo. Native status-item placement, menu screenshots, keyboard and real Dock application remain outside this bounded pass.</x:v>
      </x:c>
    </x:row>
    <x:row r="40">
      <x:c r="A40" s="45" t="str">
        <x:v>MEN-002</x:v>
      </x:c>
      <x:c r="B40" s="45" t="str">
        <x:v>Menus</x:v>
      </x:c>
      <x:c r="C40" s="45" t="str">
        <x:v>Settled</x:v>
      </x:c>
      <x:c r="D40" s="42" t="str">
        <x:v>As a user, I can manage profiles from native menus without losing context.</x:v>
      </x:c>
      <x:c r="E40" s="42" t="str">
        <x:v>Create, duplicate, rename, color, export, import, and delete actions are grouped in clear native menu or contextual-menu paths.</x:v>
      </x:c>
      <x:c r="F40" s="42" t="str">
        <x:v>Exercise each command and inspect labels, enabled state, confirmation, and cancellation behavior.</x:v>
      </x:c>
      <x:c r="G40" s="42" t="str">
        <x:v>DEC-05; Sources/Dockit/DockitCommands.swift; Sources/Dockit/ProfileDetailView.swift; Sources/Dockit/ImportProfilesView.swift</x:v>
      </x:c>
      <x:c r="H40" s="48" t="str">
        <x:v>Ready for retest</x:v>
      </x:c>
      <x:c r="I40" s="48" t="str">
        <x:v>Not run</x:v>
      </x:c>
      <x:c r="J40" s="48" t="str">
        <x:v>Pass</x:v>
      </x:c>
      <x:c r="K40" s="48" t="str">
        <x:v>Not applicable</x:v>
      </x:c>
      <x:c r="L40" s="48" t="str">
        <x:v>Not run</x:v>
      </x:c>
      <x:c r="M40" s="42" t="str">
        <x:v>TR-DELETE-001, TR-DELETE-FINAL-001, TR-IMPORT-UI-001, TR-IMPORT-UI-002, TR-IMPORT-MALFORMED-001, TR-APP-HOSTED-FINAL-001, TR-APP-HOSTED-POST-SEPARATOR-001, TR-NATIVE-PICKER-ACTOR-COMPILE-RED-001, TR-NATIVE-PICKER-CELL-HOSTED-GREEN-001, TR-NATIVE-PICKER-CELL-LIGHT-RED-001, TR-NATIVE-PICKER-BORDER-CELL-HOSTED-GREEN-001, TR-NATIVE-PICKER-FINAL-LAYOUT-HOSTED-GREEN-001, TR-NATIVE-PICKER-COMMON-INSET-HOSTED-GREEN-001</x:v>
      </x:c>
      <x:c r="N40" s="42" t="str">
        <x:v>EV-DELETE-001, EV-DELETE-002, EV-DELETE-003, EV-DELETE-004, EV-IMPORT-001, EV-IMPORT-002, EV-IMPORT-003, EV-IMPORT-004, EV-APP-HOSTED-FINAL-001, EV-APP-HOSTED-POST-SEPARATOR-001, EV-NATIVE-PICKER-ACTOR-COMPILE-RED-001, EV-NATIVE-PICKER-CELL-HOSTED-GREEN-001, EV-NATIVE-PICKER-CELL-LIGHT-RED-001, EV-NATIVE-PICKER-BORDER-CELL-HOSTED-GREEN-001, EV-NATIVE-PICKER-FINAL-LAYOUT-HOSTED-GREEN-001, EV-NATIVE-PICKER-COMMON-INSET-HOSTED-GREEN-001</x:v>
      </x:c>
      <x:c r="O40" s="42" t="str">
        <x:v>DEF-018, DEF-072</x:v>
      </x:c>
      <x:c r="P40" s="42" t="str"/>
      <x:c r="Q40" s="42" t="str">
        <x:v>Debug 2026-09-04</x:v>
      </x:c>
      <x:c r="R40" s="42" t="str">
        <x:v>root</x:v>
      </x:c>
      <x:c r="S40" s="52" t="n">
        <x:v>46270.02756756944</x:v>
      </x:c>
      <x:c r="T40" s="42" t="str">
        <x:v>Delete and import menu paths passed. The complete create, duplicate, rename, color, export, keyboard, and accessibility sweep remains.</x:v>
      </x:c>
    </x:row>
    <x:row r="41">
      <x:c r="A41" s="45" t="str">
        <x:v>MEN-003</x:v>
      </x:c>
      <x:c r="B41" s="45" t="str">
        <x:v>Menus</x:v>
      </x:c>
      <x:c r="C41" s="45" t="str">
        <x:v>Settled</x:v>
      </x:c>
      <x:c r="D41" s="42" t="str">
        <x:v>As a user, I can choose whether dockit appears in the menu bar.</x:v>
      </x:c>
      <x:c r="E41" s="42" t="str">
        <x:v>Menu-bar presence is optional, uses a native status-item interaction, and turning it off does not delete profiles or disable the main app.</x:v>
      </x:c>
      <x:c r="F41" s="42" t="str">
        <x:v>Enable and disable menu-bar presence, relaunch, and confirm profile data and main-window access persist.</x:v>
      </x:c>
      <x:c r="G41" s="42" t="str">
        <x:v>DEC-05; Sources/Dockit/DockitApp.swift; Sources/Dockit/DockMenuCoordinator.swift; Sources/Dockit/DockitCommands.swift</x:v>
      </x:c>
      <x:c r="H41" s="48" t="str">
        <x:v>Ready for retest</x:v>
      </x:c>
      <x:c r="I41" s="48" t="str">
        <x:v>Fail</x:v>
      </x:c>
      <x:c r="J41" s="48" t="str">
        <x:v>Not run</x:v>
      </x:c>
      <x:c r="K41" s="48" t="str">
        <x:v>Not run</x:v>
      </x:c>
      <x:c r="L41" s="48" t="str">
        <x:v>Not run</x:v>
      </x:c>
      <x:c r="M41" s="42" t="str">
        <x:v>TR-WINDOW-REOPEN-001</x:v>
      </x:c>
      <x:c r="N41" s="42" t="str"/>
      <x:c r="O41" s="42" t="str">
        <x:v>DEF-010, DEF-022</x:v>
      </x:c>
      <x:c r="P41" s="42" t="str">
        <x:v>MEN-001, REL-003</x:v>
      </x:c>
      <x:c r="Q41" s="42" t="str">
        <x:v>Source fix 2026-09-04</x:v>
      </x:c>
      <x:c r="R41" s="42" t="str">
        <x:v>root</x:v>
      </x:c>
      <x:c r="S41" s="52" t="n">
        <x:v>46269.26660879629</x:v>
      </x:c>
      <x:c r="T41" s="42" t="str">
        <x:v>With only Settings visible, clicking the Dock icon failed to reopen management. The source now always requests the management window, but the installed retest remains.</x:v>
      </x:c>
    </x:row>
    <x:row r="42">
      <x:c r="A42" s="45" t="str">
        <x:v>MEN-004</x:v>
      </x:c>
      <x:c r="B42" s="45" t="str">
        <x:v>Native UX</x:v>
      </x:c>
      <x:c r="C42" s="45" t="str">
        <x:v>User constraint</x:v>
      </x:c>
      <x:c r="D42" s="42" t="str">
        <x:v>As a keyboard or VoiceOver user, I can operate all dockit controls.</x:v>
      </x:c>
      <x:c r="E42" s="42" t="str">
        <x:v>Controls expose native labels, focus order, keyboard actions, and VoiceOver semantics.</x:v>
      </x:c>
      <x:c r="F42" s="42" t="str">
        <x:v>Run keyboard-only and VoiceOver passes across profile, menu, Focus, import, and recovery flows.</x:v>
      </x:c>
      <x:c r="G42" s="42" t="str"/>
      <x:c r="H42" s="48" t="str">
        <x:v>Fixing</x:v>
      </x:c>
      <x:c r="I42" s="48" t="str">
        <x:v>Not run</x:v>
      </x:c>
      <x:c r="J42" s="48" t="str">
        <x:v>Fail</x:v>
      </x:c>
      <x:c r="K42" s="48" t="str">
        <x:v>Not applicable</x:v>
      </x:c>
      <x:c r="L42" s="48" t="str">
        <x:v>Not run</x:v>
      </x:c>
      <x:c r="M42" s="42" t="str">
        <x:v>TR-EDITOR-DARK-001, TR-COPY-HELP-AUDIT-001, TR-SMALL-SPACER-KEYBOARD-LIGHT-001, TR-NATIVE-PICKER-CELL-LIGHT-RED-001, TR-PREVIEW-RANGE-SELECTION-LIGHT-GREEN-001, TR-PREVIEW-DISJOINT-BOUNDARY-MENU-MISMATCH-RED-001, TR-PREVIEW-BOUNDARY-ACTION-ENABLEMENT-GREEN-001, TR-BOUNDARY-DRAG-DIAGNOSTIC-CLEANUP-GREEN-001, TR-DETAILS-KEYBOARD-FINAL</x:v>
      </x:c>
      <x:c r="N42" s="42" t="str">
        <x:v>EV-EDITOR-DARK-SELECTION-001, EV-COPY-HELP-AUDIT-001, EV-SMALL-SPACER-KEYBOARD-LIGHT-001, EV-NATIVE-PICKER-CELL-LIGHT-RED-001, EV-PREVIEW-RANGE-SELECTION-LIGHT-GREEN-001, EV-PREVIEW-DISJOINT-BOUNDARY-MENU-MISMATCH-RED-001, EV-PREVIEW-BOUNDARY-ACTION-ENABLEMENT-GREEN-001, EV-BOUNDARY-DRAG-DIAGNOSTIC-CLEANUP-GREEN-001, EV-DETAILS-KEYBOARD-FINAL</x:v>
      </x:c>
      <x:c r="O42" s="42" t="str">
        <x:v>DEF-044, DEF-052, DEF-075, DEF-091</x:v>
      </x:c>
      <x:c r="P42" s="42" t="str"/>
      <x:c r="Q42" s="42" t="str">
        <x:v>source and dark demo 2026-09-04</x:v>
      </x:c>
      <x:c r="R42" s="42" t="str">
        <x:v>root</x:v>
      </x:c>
      <x:c r="S42" s="52" t="n">
        <x:v>46270.89567601852</x:v>
      </x:c>
      <x:c r="T42" s="42" t="str">
        <x:v>Details rows receive native keyboard focus and are revealed after navigation or reordered IDs. Tab and advertised item-editing shortcuts pass bounded live checks. This does not establish VoiceOver or complete menu keyboard coverage.</x:v>
      </x:c>
    </x:row>
    <x:row r="43">
      <x:c r="A43" s="45" t="str">
        <x:v>MEN-005</x:v>
      </x:c>
      <x:c r="B43" s="45" t="str">
        <x:v>Native UX</x:v>
      </x:c>
      <x:c r="C43" s="45" t="str">
        <x:v>User constraint</x:v>
      </x:c>
      <x:c r="D43" s="42" t="str">
        <x:v>As a user, dockit feels like a current native Mac utility with the reference video's directness.</x:v>
      </x:c>
      <x:c r="E43" s="42" t="str">
        <x:v>The profile editor and settings use compact one-page native hierarchy without navigation sidebars, custom glass, whole-window tint, or imitation Dock physics. The real macOS Dock remains the final system surface.</x:v>
      </x:c>
      <x:c r="F43" s="42" t="str">
        <x:v>Review the editor, settings, menus, sheets, and switch states at default and minimum sizes in light and dark appearance against the reference video and current macOS behavior.</x:v>
      </x:c>
      <x:c r="G43" s="42" t="str">
        <x:v>DEC-17; DEC-20; Sources/Dockit/ContentView.swift; Sources/Dockit/ProfileDetailView.swift; Sources/Dockit/SettingsView.swift</x:v>
      </x:c>
      <x:c r="H43" s="48" t="str">
        <x:v>Fixing</x:v>
      </x:c>
      <x:c r="I43" s="48" t="str">
        <x:v>Pass</x:v>
      </x:c>
      <x:c r="J43" s="48" t="str">
        <x:v>Fail</x:v>
      </x:c>
      <x:c r="K43" s="48" t="str">
        <x:v>Not run</x:v>
      </x:c>
      <x:c r="L43" s="48" t="str">
        <x:v>Not run</x:v>
      </x:c>
      <x:c r="M43" s="42" t="str">
        <x:v>TR-UI-001, TR-UI-002, TR-EDITOR-DARK-001, TR-SETTINGS-DARK-001, TR-MENU-MODEL-GREEN-001, TR-REFERENCE-DETAIL-VISUAL-001, TR-LIQUID-GLASS-FIRST-RETEST-001, TR-REFERENCE-FRAME-000000-REVIEW-001, TR-PROFILE-COLOR-PALETTE-001, TR-EDITOR-FINAL-CHROME-001, TR-DETAILS-SCROLL-BOUNDARY-RED-001, TR-DETAILS-INDEPENDENT-SCROLL-GREEN-001, TR-REFERENCE-CONTINUOUS-SURFACE-AUDIT-001, TR-TITLEBAR-CONTINUOUS-SURFACE-GREEN-001, TR-MISSING-APPS-LIGHT-REVIEW-RED-001, TR-REFERENCE-FRAMES-000006-000029-001, TR-MISSING-APPS-EMPTY-ROWS-GREEN-001, TR-MISSING-APPS-RESIZE-RED-001, TR-MISSING-APPS-FITTED-GREEN-001, TR-PICKER-GEOMETRY-PROBE-RED-001, TR-PICKER-GEOMETRY-WRAPPER-PROBE-RED-001, TR-PICKER-NATIVE-BACKGROUND-PROBE-RED-001, TR-REFERENCE-SPACER-INSERTION-AUDIT-001, TR-PICKER-HOSTED-SWIFTUI-PROBE-RED-001, TR-REFERENCE-FRAMES-000500-000540-MERGE-001, TR-NATIVE-PICKER-ACTOR-COMPILE-RED-001, TR-NATIVE-PICKER-WRAP-MEASUREMENT-RED-001, TR-NATIVE-PICKER-CELL-HOSTED-GREEN-001, TR-NATIVE-PICKER-BLANK-DISPLAY-RED-001, TR-NATIVE-PICKER-CELL-LIGHT-RED-001, TR-REGULAR-SPACER-PAINT-GREEN-001, TR-NATIVE-PICKER-BORDER-CELL-HOSTED-GREEN-001, TR-NATIVE-PICKER-BORDER-CELL-RUNTIME-RED-001, TR-NATIVE-PICKER-SHARED-GLASS-PARTIAL-001, TR-NATIVE-PICKER-FINAL-LAYOUT-HOSTED-GREEN-001, TR-NATIVE-PICKER-COMMON-INSET-HOSTED-GREEN-001, TR-NATIVE-PICKER-COMMON-INSET-RUNTIME-GREEN-001, TR-REFERENCE-FRAMES-000030-000070-001, TR-PREVIEW-CONTINUOUS-REFLOW-SOURCE-RED-001, TR-REFERENCE-FRAMES-000071-000090-001, TR-BOUNDARY-DRAG-POST-CLEANUP-APPEARANCE-BLOCKED-001</x:v>
      </x:c>
      <x:c r="N43" s="42" t="str">
        <x:v>EV-UI-001, EV-UI-002, EV-EDITOR-DARK-DEFAULT-001, EV-EDITOR-DARK-MINIMUM-001, EV-SETTINGS-DARK-DEFAULT-001, EV-SETTINGS-DARK-MINIMUM-001, EV-MENU-MODEL-GREEN-001, EV-REFERENCE-DETAIL-APP-BEFORE-001, EV-REFERENCE-FRAME-000000-001, EV-LIQUID-GLASS-REVIEW-001, EV-LIQUID-GLASS-FIRST-AFTER-001, EV-LIQUID-GLASS-FOCUSED-CONTRAST-001, EV-REFERENCE-FRAME-000000-ANNOTATION-001, EV-PROFILE-COLOR-TESTS-001, EV-PROFILE-COLOR-AUDIT-001, EV-EDITOR-FINAL-CHROME-LIGHT-001, EV-EDITOR-FINAL-CHROME-DARK-001, EV-DETAILS-SCROLL-BOUNDARY-RED-001, EV-DETAILS-INDEPENDENT-OPEN-001, EV-DETAILS-INDEPENDENT-SCROLLED-001, EV-REFERENCE-CONTINUOUS-SURFACE-001, EV-TITLEBAR-CONTINUOUS-LIGHT-001, EV-TITLEBAR-CONTINUOUS-DARK-001, EV-TITLEBAR-CONTINUOUS-BUILD-001, EV-MISSING-APPS-LIGHT-EMPTY-ROWS-001, EV-REFERENCE-FRAMES-000006-000029-001, EV-MISSING-APPS-EMPTY-ROWS-GREEN-001, EV-MISSING-APPS-RESIZE-RED-001, EV-MISSING-APPS-FITTED-GREEN-001, EV-PICKER-GEOMETRY-PROBE-RED-001, EV-PICKER-GEOMETRY-WRAPPER-PROBE-RED-001, EV-PICKER-NATIVE-BACKGROUND-PROBE-RED-001, EV-REFERENCE-SPACER-INSERTION-AUDIT-001, EV-PICKER-HOSTED-SWIFTUI-PROBE-RED-001, EV-REFERENCE-FRAMES-000500-000540-MERGE-001, EV-NATIVE-PICKER-ACTOR-COMPILE-RED-001, EV-NATIVE-PICKER-WRAP-MEASUREMENT-RED-001, EV-NATIVE-PICKER-CELL-HOSTED-GREEN-001, EV-NATIVE-PICKER-BLANK-DISPLAY-RED-001, EV-NATIVE-PICKER-CELL-LIGHT-RED-001, EV-REGULAR-SPACER-PAINT-GREEN-001, EV-NATIVE-PICKER-BORDER-CELL-HOSTED-GREEN-001, EV-NATIVE-PICKER-BORDER-CELL-RUNTIME-RED-001, EV-NATIVE-PICKER-SHARED-GLASS-PARTIAL-001, EV-NATIVE-PICKER-FINAL-LAYOUT-HOSTED-GREEN-001, EV-NATIVE-PICKER-COMMON-INSET-HOSTED-GREEN-001, EV-NATIVE-PICKER-COMMON-INSET-RUNTIME-GREEN-001, EV-REFERENCE-FRAMES-000030-000070-001, EV-PREVIEW-CONTINUOUS-REFLOW-SOURCE-RED-001, EV-REFERENCE-FRAMES-000071-000090-001, EV-BOUNDARY-DRAG-POST-CLEANUP-APPEARANCE-BLOCKED-001</x:v>
      </x:c>
      <x:c r="O43" s="42" t="str">
        <x:v>DEF-045, DEF-060, DEF-061, DEF-062, DEF-063, DEF-064, DEF-065, DEF-066, DEF-067, DEF-068, DEF-069, DEF-071, DEF-072, DEF-073, DEF-074, DEF-076</x:v>
      </x:c>
      <x:c r="P43" s="42" t="str"/>
      <x:c r="Q43" s="42" t="str">
        <x:v>source 2026-09-04</x:v>
      </x:c>
      <x:c r="R43" s="42" t="str">
        <x:v>root</x:v>
      </x:c>
      <x:c r="S43" s="52" t="n">
        <x:v>46270.05941134259</x:v>
      </x:c>
      <x:c r="T43" s="42" t="str">
        <x:v>The compact light and dark editor now has the reference's continuous titlebar-to-content surface, while fixed controls and independent details scrolling retain their bounded passes. Remaining menu, inactive-window, accessibility appearance, motion, and full interaction coverage stays open.</x:v>
      </x:c>
    </x:row>
    <x:row r="44">
      <x:c r="A44" s="45" t="str">
        <x:v>MEN-006</x:v>
      </x:c>
      <x:c r="B44" s="45" t="str">
        <x:v>Native UX</x:v>
      </x:c>
      <x:c r="C44" s="45" t="str">
        <x:v>User constraint</x:v>
      </x:c>
      <x:c r="D44" s="42" t="str">
        <x:v>As a user, dockit respects system accessibility appearance and motion preferences.</x:v>
      </x:c>
      <x:c r="E44" s="42" t="str">
        <x:v>dockit follows the user's macOS light, dark or automatic appearance, including changes while open. System accent color, contrast, Reduce Motion and Reduced Transparency remain respected across the editor, settings, sheets, picker, swatches and menus. Forced appearance is confined to isolated demo tests.</x:v>
      </x:c>
      <x:c r="F44" s="42" t="str">
        <x:v>Exercise light and dark appearance and a live appearance change while the app is open. Inspect identity underlay, profile colors, native controls, menu assets and text in each state. Test Increased Contrast, Reduced Transparency, Reduce Motion and larger text with screenshots and recordings. Confirm normal launch does not force an appearance.</x:v>
      </x:c>
      <x:c r="G44" s="42" t="str">
        <x:v>Sources/Dockit/DockMenuCoordinator.swift:255; Sources/Dockit/ProfileColorStyle.swift; Sources/Dockit/ContentView.swift; Sources/Dockit/DockPreviewView.swift</x:v>
      </x:c>
      <x:c r="H44" s="48" t="str">
        <x:v>Ready for test</x:v>
      </x:c>
      <x:c r="I44" s="48" t="str">
        <x:v>Not run</x:v>
      </x:c>
      <x:c r="J44" s="48" t="str">
        <x:v>Pass</x:v>
      </x:c>
      <x:c r="K44" s="48" t="str">
        <x:v>Blocked</x:v>
      </x:c>
      <x:c r="L44" s="48" t="str">
        <x:v>Blocked</x:v>
      </x:c>
      <x:c r="M44" s="42" t="str">
        <x:v>TR-ACTIVATION-QUEUE-001, TR-FRESH-ICON-SYSTEM-MENU-BLOCK, TR-APPEARANCE-ADAPTATION-HOST-SETUP, TR-APPEARANCE-PICKER-STALE-RED, TR-APPEARANCE-PICKER-FIXED</x:v>
      </x:c>
      <x:c r="N44" s="42" t="str">
        <x:v>EV-ACT-002, EV-MOTION-001, EV-FRESH-ICON-SYSTEM-MENU-BLOCK, EV-APPEARANCE-ADAPTATION-HOST-SETUP, EV-APPEARANCE-PICKER-STALE-RED, EV-APPEARANCE-PICKER-FIXED</x:v>
      </x:c>
      <x:c r="O44" s="42" t="str">
        <x:v>DEF-094</x:v>
      </x:c>
      <x:c r="P44" s="42" t="str"/>
      <x:c r="Q44" s="42" t="str">
        <x:v>Review 2026-09-04</x:v>
      </x:c>
      <x:c r="R44" s="42" t="str">
        <x:v>root</x:v>
      </x:c>
      <x:c r="S44" s="52" t="n">
        <x:v>46271.00670440972</x:v>
      </x:c>
      <x:c r="T44" s="42" t="str">
        <x:v>User reaffirmed adaptive light and dark behavior. Source review finds appearance overrides only inside DOCKIT_DEMO. Live system-change verification and the full accessibility matrix remain pending. No new appearance override control was requested or added.</x:v>
      </x:c>
    </x:row>
    <x:row r="45">
      <x:c r="A45" s="45" t="str">
        <x:v>FOC-001</x:v>
      </x:c>
      <x:c r="B45" s="45" t="str">
        <x:v>Focus</x:v>
      </x:c>
      <x:c r="C45" s="45" t="str">
        <x:v>Explicit</x:v>
      </x:c>
      <x:c r="D45" s="42" t="str">
        <x:v>As a user, I can select a Dock profile for a Focus filter in System Settings.</x:v>
      </x:c>
      <x:c r="E45" s="42" t="str">
        <x:v>dockit's Focus filter offers the current profile list and stores one stable profile identifier per filter configuration.</x:v>
      </x:c>
      <x:c r="F45" s="42" t="str">
        <x:v>Configure a temporary Focus filter in System Settings, relaunch dockit, and confirm activation resolves the same profile.</x:v>
      </x:c>
      <x:c r="G45" s="42" t="str">
        <x:v>DEC-14; Configuration/FocusExtension-Info.plist; project.yml; Sources/DockitFocusExtension/DockFocusFilterIntent.swift; Sources/DockitCore/FocusBridgeStore.swift</x:v>
      </x:c>
      <x:c r="H45" s="48" t="str">
        <x:v>Blocked</x:v>
      </x:c>
      <x:c r="I45" s="48" t="str">
        <x:v>Fail</x:v>
      </x:c>
      <x:c r="J45" s="48" t="str">
        <x:v>Fail</x:v>
      </x:c>
      <x:c r="K45" s="48" t="str">
        <x:v>Not applicable</x:v>
      </x:c>
      <x:c r="L45" s="48" t="str">
        <x:v>Not run</x:v>
      </x:c>
      <x:c r="M45" s="42" t="str">
        <x:v>TR-FOCUS-HOST-001, TR-FOCUS-HOST-002, TR-FOCUS-CONFIG-001, TR-FOCUS-CONFIG-002, TR-FOCUS-QUERY-AB-001, TR-FOCUS-QUERY-AB-002, TR-FOCUS-REGISTRATION-RED-001, TR-FOCUS-REGISTRATION-RETEST-001, TR-FOCUS-NORMAL-LAUNCH-001, TR-FOCUS-FIXTURE-CLEANUP-001</x:v>
      </x:c>
      <x:c r="N45" s="42" t="str">
        <x:v>EV-FOCUS-004, EV-FOCUS-006, EV-FOCUS-007, EV-FOCUS-020, EV-FOCUS-REGISTRATION-RED-001, EV-FOCUS-REGISTRATION-RETEST-001, EV-FOCUS-NORMAL-LAUNCH-001, EV-FOCUS-FIXTURE-CLEANUP-001</x:v>
      </x:c>
      <x:c r="O45" s="42" t="str">
        <x:v>DEF-016, DEF-096</x:v>
      </x:c>
      <x:c r="P45" s="42" t="str"/>
      <x:c r="Q45" s="42" t="str">
        <x:v>Signed Debug A/B 2026-09-04</x:v>
      </x:c>
      <x:c r="R45" s="42" t="str">
        <x:v>root</x:v>
      </x:c>
      <x:c r="S45" s="52" t="n">
        <x:v>46271.13232842593</x:v>
      </x:c>
      <x:c r="T45" s="42" t="str">
        <x:v>Removing suggestions did not fix immediate selection refresh. Plain EntityQuery produced a blank picker, so EnumerableEntityQuery is retained. The P0 selection blocker remains.</x:v>
      </x:c>
    </x:row>
    <x:row r="46">
      <x:c r="A46" s="45" t="str">
        <x:v>FOC-002</x:v>
      </x:c>
      <x:c r="B46" s="45" t="str">
        <x:v>Focus</x:v>
      </x:c>
      <x:c r="C46" s="45" t="str">
        <x:v>Settled</x:v>
      </x:c>
      <x:c r="D46" s="42" t="str">
        <x:v>As a user, I can change or remove a Focus association.</x:v>
      </x:c>
      <x:c r="E46" s="42" t="str">
        <x:v>Reassignment and unlinking persist without changing the actual Dock until a Focus activation event occurs.</x:v>
      </x:c>
      <x:c r="F46" s="42" t="str">
        <x:v>Attach, reassign, unlink, relaunch, and confirm the Dock remains unchanged absent an event.</x:v>
      </x:c>
      <x:c r="G46" s="42" t="str"/>
      <x:c r="H46" s="48" t="str">
        <x:v>Ready to build</x:v>
      </x:c>
      <x:c r="I46" s="48" t="str">
        <x:v>Not run</x:v>
      </x:c>
      <x:c r="J46" s="48" t="str">
        <x:v>Not run</x:v>
      </x:c>
      <x:c r="K46" s="48" t="str">
        <x:v>Not run</x:v>
      </x:c>
      <x:c r="L46" s="48" t="str">
        <x:v>Not run</x:v>
      </x:c>
      <x:c r="M46" s="42" t="str">
        <x:v>TR-FOCUS-REGISTRATION-RED-001, TR-FOCUS-REGISTRATION-RETEST-001, TR-FOCUS-NORMAL-LAUNCH-001</x:v>
      </x:c>
      <x:c r="N46" s="42" t="str">
        <x:v>EV-FOCUS-REGISTRATION-RED-001, EV-FOCUS-REGISTRATION-RETEST-001, EV-FOCUS-NORMAL-LAUNCH-001</x:v>
      </x:c>
      <x:c r="O46" s="42" t="str">
        <x:v>DEF-096</x:v>
      </x:c>
      <x:c r="P46" s="42" t="str"/>
      <x:c r="Q46" s="42" t="str"/>
      <x:c r="R46" s="42" t="str"/>
      <x:c r="S46" s="52" t="n">
        <x:v>46271.117670671294</x:v>
      </x:c>
      <x:c r="T46" s="42"/>
    </x:row>
    <x:row r="47">
      <x:c r="A47" s="45" t="str">
        <x:v>FOC-003</x:v>
      </x:c>
      <x:c r="B47" s="45" t="str">
        <x:v>Focus</x:v>
      </x:c>
      <x:c r="C47" s="45" t="str">
        <x:v>Explicit</x:v>
      </x:c>
      <x:c r="D47" s="42" t="str">
        <x:v>As a user, turning on an attached Focus switches to its Dock.</x:v>
      </x:c>
      <x:c r="E47" s="42" t="str">
        <x:v>An eligible Focus activation uses the same apply path as a manual switch.</x:v>
      </x:c>
      <x:c r="F47" s="42" t="str">
        <x:v>Turn on a mapped real Focus. Confirm active profile, Dock app order, spacers, and no app lifecycle effects.</x:v>
      </x:c>
      <x:c r="G47" s="42" t="str">
        <x:v>DEC-14; DEC-15; Sources/Dockit/AppModel.swift; Sources/DockitCore/FocusBridgeStore.swift; Sources/DockitFocusExtension/DockFocusFilterIntent.swift</x:v>
      </x:c>
      <x:c r="H47" s="48" t="str">
        <x:v>Ready for retest</x:v>
      </x:c>
      <x:c r="I47" s="48" t="str">
        <x:v>Pass</x:v>
      </x:c>
      <x:c r="J47" s="48" t="str">
        <x:v>Pass</x:v>
      </x:c>
      <x:c r="K47" s="48" t="str">
        <x:v>Blocked</x:v>
      </x:c>
      <x:c r="L47" s="48" t="str">
        <x:v>Not run</x:v>
      </x:c>
      <x:c r="M47" s="42" t="str">
        <x:v>TR-FOCUS-ORDER-AUDIT-001, TR-FOCUS-CORE-001, TR-FOCUS-LIVE-001, TR-FOCUS-MANUAL-001, TR-CORE-REGRESSION-003, TR-CORE-REGRESSION-004, TR-FOCUS-CLOSED-001, TR-FOCUS-RACE-001, TR-ACTIVATION-DUPLICATE-AUDIT-001, TR-ACTIVATION-RELINK-RED-001, TR-ACTIVATION-RELINK-GREEN-001, TR-ACTIVATION-RELINK-GREEN-002, TR-LEDGER-LIQUID-CHECKPOINT-001, TR-APP-HOSTED-FINAL-001, TR-APP-HOSTED-POST-SEPARATOR-001</x:v>
      </x:c>
      <x:c r="N47" s="42" t="str">
        <x:v>EV-FOCUS-008, EV-FOCUS-012, EV-FOCUS-013, EV-CORE-002, EV-FOCUS-015, EV-FOCUS-016, EV-FOCUS-019, EV-ACTIVATION-DUPLICATE-AUDIT-001, EV-ACTIVATION-RELINK-RED-001, EV-ACTIVATION-RELINK-GREEN-001, EV-ACTIVATION-RELINK-GREEN-002, EV-ACTIVATION-RELINK-SUMMARY-001, EV-LEDGER-ACTIVATION-GLASS-001, EV-APP-HOSTED-FINAL-001, EV-APP-HOSTED-POST-SEPARATOR-001</x:v>
      </x:c>
      <x:c r="O47" s="42" t="str">
        <x:v>DEF-014, DEF-015, DEF-056</x:v>
      </x:c>
      <x:c r="P47" s="42" t="str"/>
      <x:c r="Q47" s="42" t="str">
        <x:v>Signed Debug 2026-09-04</x:v>
      </x:c>
      <x:c r="R47" s="42" t="str">
        <x:v>root</x:v>
      </x:c>
      <x:c r="S47" s="52" t="n">
        <x:v>46269.96274527778</x:v>
      </x:c>
      <x:c r="T47" s="42" t="str">
        <x:v>Hosted direct Focus activation now waits for verified outcomes and preserves a newer manual reapply source. Live macOS Focus and real Dock behavior remain blocked and unverified.</x:v>
      </x:c>
    </x:row>
    <x:row r="48">
      <x:c r="A48" s="45" t="str">
        <x:v>FOC-004</x:v>
      </x:c>
      <x:c r="B48" s="45" t="str">
        <x:v>Focus</x:v>
      </x:c>
      <x:c r="C48" s="45" t="str">
        <x:v>Settled</x:v>
      </x:c>
      <x:c r="D48" s="42" t="str">
        <x:v>As a user, I get predictable behavior when a Focus ends.</x:v>
      </x:c>
      <x:c r="E48" s="42" t="str">
        <x:v>When a mapped Focus ends, dockit retains the currently active Dock until a later manual or Focus activation event.</x:v>
      </x:c>
      <x:c r="F48" s="42" t="str">
        <x:v>Activate a mapped Focus, then end it. Confirm no unsolicited profile switch occurs.</x:v>
      </x:c>
      <x:c r="G48" s="42" t="str">
        <x:v>DEC-07; DEC-15; Sources/Dockit/AppModel.swift; Sources/DockitCore/FocusBridgeStore.swift</x:v>
      </x:c>
      <x:c r="H48" s="48" t="str">
        <x:v>Ready for retest</x:v>
      </x:c>
      <x:c r="I48" s="48" t="str">
        <x:v>Pass</x:v>
      </x:c>
      <x:c r="J48" s="48" t="str">
        <x:v>Pass</x:v>
      </x:c>
      <x:c r="K48" s="48" t="str">
        <x:v>Not run</x:v>
      </x:c>
      <x:c r="L48" s="48" t="str">
        <x:v>Not run</x:v>
      </x:c>
      <x:c r="M48" s="42" t="str">
        <x:v>TR-FOCUS-ORDER-AUDIT-001, TR-FOCUS-CORE-001, TR-FOCUS-LIVE-001, TR-FOCUS-MANUAL-001, TR-CORE-REGRESSION-003, TR-CORE-REGRESSION-004, TR-FOCUS-CLOSED-002</x:v>
      </x:c>
      <x:c r="N48" s="42" t="str">
        <x:v>EV-FOCUS-009, EV-FOCUS-010, EV-FOCUS-011, EV-FOCUS-013, EV-CORE-002, EV-FOCUS-014, EV-FOCUS-017, EV-FOCUS-018</x:v>
      </x:c>
      <x:c r="O48" s="42" t="str">
        <x:v>DEF-014, DEF-015</x:v>
      </x:c>
      <x:c r="P48" s="42" t="str"/>
      <x:c r="Q48" s="42" t="str">
        <x:v>Signed Debug 2026-09-04</x:v>
      </x:c>
      <x:c r="R48" s="42" t="str">
        <x:v>root</x:v>
      </x:c>
      <x:c r="S48" s="52" t="n">
        <x:v>46269.2684375</x:v>
      </x:c>
      <x:c r="T48" s="42" t="str">
        <x:v>Focus-off preserved both a Focus-applied Dock and a manual Dock. The newer closed-app Focus-off also preserved the manual profile. Repeat in the full sweep.</x:v>
      </x:c>
    </x:row>
    <x:row r="49">
      <x:c r="A49" s="45" t="str">
        <x:v>FOC-005</x:v>
      </x:c>
      <x:c r="B49" s="45" t="str">
        <x:v>Focus</x:v>
      </x:c>
      <x:c r="C49" s="45" t="str">
        <x:v>Settled</x:v>
      </x:c>
      <x:c r="D49" s="42" t="str">
        <x:v>As a user, a manual Dock choice remains understandable during Focus automation.</x:v>
      </x:c>
      <x:c r="E49" s="42" t="str">
        <x:v>The UI explains whether the active Dock came from a manual or Focus event. A later Focus activation may apply its mapped Dock.</x:v>
      </x:c>
      <x:c r="F49" s="42" t="str">
        <x:v>Manually switch during an active Focus, inspect attribution, then toggle another mapped Focus.</x:v>
      </x:c>
      <x:c r="G49" s="42" t="str">
        <x:v>DEC-07; DEC-15; Sources/Dockit/AppModel.swift; Sources/DockitCore/FocusBridgeStore.swift</x:v>
      </x:c>
      <x:c r="H49" s="48" t="str">
        <x:v>Ready for retest</x:v>
      </x:c>
      <x:c r="I49" s="48" t="str">
        <x:v>Pass</x:v>
      </x:c>
      <x:c r="J49" s="48" t="str">
        <x:v>Not run</x:v>
      </x:c>
      <x:c r="K49" s="48" t="str">
        <x:v>Not run</x:v>
      </x:c>
      <x:c r="L49" s="48" t="str">
        <x:v>Not run</x:v>
      </x:c>
      <x:c r="M49" s="42" t="str">
        <x:v>TR-FOCUS-ORDER-AUDIT-001, TR-FOCUS-CORE-001, TR-FOCUS-LIVE-001, TR-FOCUS-MANUAL-001, TR-CORE-REGRESSION-003, TR-CORE-REGRESSION-004, TR-FOCUS-CLOSED-002, TR-FOCUS-RACE-001, TR-FOCUS-MODEL-GREEN-001</x:v>
      </x:c>
      <x:c r="N49" s="42" t="str">
        <x:v>EV-FOCUS-008, EV-FOCUS-009, EV-FOCUS-010, EV-FOCUS-011, EV-FOCUS-012, EV-FOCUS-013, EV-CORE-002, EV-FOCUS-014, EV-FOCUS-015, EV-FOCUS-017, EV-FOCUS-018, EV-FOCUS-019, EV-FOCUS-MODEL-GREEN-001</x:v>
      </x:c>
      <x:c r="O49" s="42" t="str">
        <x:v>DEF-014, DEF-015, DEF-042, DEF-043</x:v>
      </x:c>
      <x:c r="P49" s="42" t="str"/>
      <x:c r="Q49" s="42" t="str">
        <x:v>Signed Debug 2026-09-04</x:v>
      </x:c>
      <x:c r="R49" s="42" t="str">
        <x:v>root</x:v>
      </x:c>
      <x:c r="S49" s="52" t="n">
        <x:v>46269.894609953706</x:v>
      </x:c>
      <x:c r="T49" s="42" t="str">
        <x:v>The real in-process Focus request processor passes isolated selection, newer manual activation, acknowledgement, rollback, and queued recovery tests with mock Dock services. Live macOS Focus remains a release gate.</x:v>
      </x:c>
    </x:row>
    <x:row r="50">
      <x:c r="A50" s="45" t="str">
        <x:v>FOC-006</x:v>
      </x:c>
      <x:c r="B50" s="45" t="str">
        <x:v>Focus</x:v>
      </x:c>
      <x:c r="C50" s="45" t="str">
        <x:v>Settled</x:v>
      </x:c>
      <x:c r="D50" s="42" t="str">
        <x:v>As a user, I know when Focus automation is unavailable.</x:v>
      </x:c>
      <x:c r="E50" s="42" t="str">
        <x:v>If live Focus switching is unreliable, dockit explains that Focus automation is unavailable and leaves manual switching usable.</x:v>
      </x:c>
      <x:c r="F50" s="42" t="str">
        <x:v>Exercise the supported and unavailable Focus paths. Inspect the explanation and confirm manual switching remains intact.</x:v>
      </x:c>
      <x:c r="G50" s="42" t="str">
        <x:v>DEC-08; DEC-14; Configuration/FocusExtension-Info.plist; project.yml; Sources/Dockit/AppModel.swift; Sources/Dockit/SettingsView.swift</x:v>
      </x:c>
      <x:c r="H50" s="48" t="str">
        <x:v>Ready for test</x:v>
      </x:c>
      <x:c r="I50" s="48" t="str">
        <x:v>Not run</x:v>
      </x:c>
      <x:c r="J50" s="48" t="str">
        <x:v>Not run</x:v>
      </x:c>
      <x:c r="K50" s="48" t="str">
        <x:v>Not run</x:v>
      </x:c>
      <x:c r="L50" s="48" t="str">
        <x:v>Not run</x:v>
      </x:c>
      <x:c r="M50" s="42" t="str">
        <x:v>TR-FOCUS-REGISTRATION-001, TR-FOCUS-REGISTRATION-002</x:v>
      </x:c>
      <x:c r="N50" s="42" t="str">
        <x:v>EV-FOCUS-005</x:v>
      </x:c>
      <x:c r="O50" s="42" t="str">
        <x:v>DEF-021</x:v>
      </x:c>
      <x:c r="P50" s="42" t="str"/>
      <x:c r="Q50" s="42" t="str">
        <x:v>Signed Debug 2026-09-04</x:v>
      </x:c>
      <x:c r="R50" s="42" t="str">
        <x:v>root</x:v>
      </x:c>
      <x:c r="S50" s="52" t="n">
        <x:v>46269.227800925924</x:v>
      </x:c>
      <x:c r="T50" s="42" t="str">
        <x:v>Correct ExtensionKit registration and positive availability detection pass. The denied or missing capability path remains untested.</x:v>
      </x:c>
    </x:row>
    <x:row r="51">
      <x:c r="A51" s="45" t="str">
        <x:v>FOC-007</x:v>
      </x:c>
      <x:c r="B51" s="45" t="str">
        <x:v>Focus</x:v>
      </x:c>
      <x:c r="C51" s="45" t="str">
        <x:v>Settled</x:v>
      </x:c>
      <x:c r="D51" s="42" t="str">
        <x:v>As a user, Focus automation can run after login when I enable it.</x:v>
      </x:c>
      <x:c r="E51" s="42" t="str">
        <x:v>dockit offers an explicit login-item choice. When enabled, the app can observe mapped Focus changes after sign-in without showing an intrusive window.</x:v>
      </x:c>
      <x:c r="F51" s="42" t="str">
        <x:v>Enable launch at login in a test account, sign out and in, activate a mapped Focus, and confirm the expected Dock applies.</x:v>
      </x:c>
      <x:c r="G51" s="42" t="str">
        <x:v>Sources/Dockit/AppModel.swift; Sources/Dockit/SetupView.swift; Sources/Dockit/SettingsView.swift</x:v>
      </x:c>
      <x:c r="H51" s="48" t="str">
        <x:v>Ready for test</x:v>
      </x:c>
      <x:c r="I51" s="48" t="str">
        <x:v>Not run</x:v>
      </x:c>
      <x:c r="J51" s="48" t="str">
        <x:v>Not run</x:v>
      </x:c>
      <x:c r="K51" s="48" t="str">
        <x:v>Not run</x:v>
      </x:c>
      <x:c r="L51" s="48" t="str">
        <x:v>Not run</x:v>
      </x:c>
      <x:c r="M51" s="42" t="str">
        <x:v>TR-SETUP-001, TR-SETUP-002</x:v>
      </x:c>
      <x:c r="N51" s="42" t="str">
        <x:v>EV-UI-003</x:v>
      </x:c>
      <x:c r="O51" s="42"/>
      <x:c r="P51" s="42" t="str"/>
      <x:c r="Q51" s="42" t="str">
        <x:v>Signed Debug 2026-09-03</x:v>
      </x:c>
      <x:c r="R51" s="42" t="str">
        <x:v>Codex</x:v>
      </x:c>
      <x:c r="S51" s="52" t="n">
        <x:v>46268.962137222225</x:v>
      </x:c>
      <x:c r="T51" s="42"/>
    </x:row>
    <x:row r="52">
      <x:c r="A52" s="45" t="str">
        <x:v>FOC-008</x:v>
      </x:c>
      <x:c r="B52" s="45" t="str">
        <x:v>Focus</x:v>
      </x:c>
      <x:c r="C52" s="45" t="str">
        <x:v>Safety guardrail</x:v>
      </x:c>
      <x:c r="D52" s="42" t="str">
        <x:v>As a user, a Focus-triggered switch preserves the same non-profile Dock state as a manual switch.</x:v>
      </x:c>
      <x:c r="E52" s="42" t="str">
        <x:v>Folders, recents, settings, and running apps remain untouched during Focus automation.</x:v>
      </x:c>
      <x:c r="F52" s="42" t="str">
        <x:v>Run the same preservation fixture through a Focus-triggered switch.</x:v>
      </x:c>
      <x:c r="G52" s="42" t="str"/>
      <x:c r="H52" s="48" t="str">
        <x:v>Ready to build</x:v>
      </x:c>
      <x:c r="I52" s="48" t="str">
        <x:v>Not run</x:v>
      </x:c>
      <x:c r="J52" s="48" t="str">
        <x:v>Not run</x:v>
      </x:c>
      <x:c r="K52" s="48" t="str">
        <x:v>Not run</x:v>
      </x:c>
      <x:c r="L52" s="48" t="str">
        <x:v>Not run</x:v>
      </x:c>
      <x:c r="M52" s="42" t="str"/>
      <x:c r="N52" s="42" t="str"/>
      <x:c r="O52" s="42" t="str"/>
      <x:c r="P52" s="42" t="str"/>
      <x:c r="Q52" s="42" t="str"/>
      <x:c r="R52" s="42" t="str"/>
      <x:c r="S52" s="42" t="str"/>
      <x:c r="T52" s="42"/>
    </x:row>
    <x:row r="53">
      <x:c r="A53" s="45" t="str">
        <x:v>XFR-001</x:v>
      </x:c>
      <x:c r="B53" s="45" t="str">
        <x:v>Transfer</x:v>
      </x:c>
      <x:c r="C53" s="45" t="str">
        <x:v>Explicit</x:v>
      </x:c>
      <x:c r="D53" s="42" t="str">
        <x:v>As a user, I can export saved Docks to move them manually.</x:v>
      </x:c>
      <x:c r="E53" s="42" t="str">
        <x:v>Export writes a local portable file for the selected profile set.</x:v>
      </x:c>
      <x:c r="F53" s="42" t="str">
        <x:v>Export one and multiple fixture profiles. Inspect the file and import it into an isolated local fixture.</x:v>
      </x:c>
      <x:c r="G53" s="42" t="str">
        <x:v>Sources/Dockit/AppModel.swift; Sources/DockitCore/DockitArchive.swift</x:v>
      </x:c>
      <x:c r="H53" s="48" t="str">
        <x:v>Ready for retest</x:v>
      </x:c>
      <x:c r="I53" s="48" t="str">
        <x:v>Pass</x:v>
      </x:c>
      <x:c r="J53" s="48" t="str">
        <x:v>Pass</x:v>
      </x:c>
      <x:c r="K53" s="48" t="str">
        <x:v>Not applicable</x:v>
      </x:c>
      <x:c r="L53" s="48" t="str">
        <x:v>Blocked</x:v>
      </x:c>
      <x:c r="M53" s="42" t="str">
        <x:v>TR-EXPORT-001, TR-TRANSFER-MODEL-GREEN-001, TR-TRANSFER-DARK-001, TR-EXPORT-NATIVE-DARK-001, TR-EXPORT-SEQUENTIAL-MODEL-GREEN-001, TR-TRANSFER-INGRESS-RED-001, TR-TRANSFER-INGRESS-GREEN-001, TR-EXPORT-NATIVE-KEYBOARD-GREEN-001, TR-NATIVE-PANEL-CUA-BLOCKED-001, TR-APP-HOSTED-FINAL-001, TR-APP-HOSTED-POST-SEPARATOR-001, TR-TRANSFER-ROUNDTRIP-001</x:v>
      </x:c>
      <x:c r="N53" s="42" t="str">
        <x:v>EV-EXPORT-001, EV-TRANSFER-MODEL-GREEN-001, EV-TRANSFER-ROUNDTRIP-001, EV-INTERACTION-REVIEW-001, EV-EXPORT-NESTED-PANEL-001, EV-EXPORT-RETURN-001, EV-TRANSFER-FOLLOWUP-MODEL-001, EV-EXPORT-NATIVE-KEYBOARD-GREEN-001, EV-EXPORT-AFTER-FIX-ARCHIVE-001, EV-NATIVE-PANEL-CORRECTION-001, EV-APP-HOSTED-FINAL-001, EV-APP-HOSTED-POST-SEPARATOR-001</x:v>
      </x:c>
      <x:c r="O53" s="42" t="str">
        <x:v>DEF-046, DEF-051, DEF-057</x:v>
      </x:c>
      <x:c r="P53" s="42" t="str"/>
      <x:c r="Q53" s="42" t="str">
        <x:v>Debug 2026-09-03</x:v>
      </x:c>
      <x:c r="R53" s="42" t="str">
        <x:v>root</x:v>
      </x:c>
      <x:c r="S53" s="52" t="n">
        <x:v>46271.235232453706</x:v>
      </x:c>
      <x:c r="T53" s="42" t="str">
        <x:v>Hosted sequencing and ingress checks pass twice. Native keyboard export writes the correct archive and returns to Settings with success feedback. Pointer and accessibility panel routing remains tool-limited, so accessibility is Blocked rather than failed.</x:v>
      </x:c>
    </x:row>
    <x:row r="54">
      <x:c r="A54" s="45" t="str">
        <x:v>XFR-002</x:v>
      </x:c>
      <x:c r="B54" s="45" t="str">
        <x:v>Transfer</x:v>
      </x:c>
      <x:c r="C54" s="45" t="str">
        <x:v>Explicit</x:v>
      </x:c>
      <x:c r="D54" s="42" t="str">
        <x:v>As a user, export contains only profile data.</x:v>
      </x:c>
      <x:c r="E54" s="42" t="str">
        <x:v>Exports include names, colors, app references, and spacer layout. They exclude folders, recents, other Dock settings, windows, running-app state, accounts, and analytics.</x:v>
      </x:c>
      <x:c r="F54" s="42" t="str">
        <x:v>Compare exported structure with a fixture that has non-default unrelated Dock state.</x:v>
      </x:c>
      <x:c r="G54" s="42" t="str">
        <x:v>Sources/DockitCore/DockitArchive.swift; Sources/DockitCore/DockLibrary.swift</x:v>
      </x:c>
      <x:c r="H54" s="48" t="str">
        <x:v>Ready for retest</x:v>
      </x:c>
      <x:c r="I54" s="48" t="str">
        <x:v>Pass</x:v>
      </x:c>
      <x:c r="J54" s="48" t="str">
        <x:v>Not applicable</x:v>
      </x:c>
      <x:c r="K54" s="48" t="str">
        <x:v>Not applicable</x:v>
      </x:c>
      <x:c r="L54" s="48" t="str">
        <x:v>Not applicable</x:v>
      </x:c>
      <x:c r="M54" s="42" t="str">
        <x:v>TR-EXPORT-001, TR-TRANSFER-ROUNDTRIP-001</x:v>
      </x:c>
      <x:c r="N54" s="42" t="str">
        <x:v>EV-EXPORT-001, EV-TRANSFER-ROUNDTRIP-001</x:v>
      </x:c>
      <x:c r="O54" s="42" t="str"/>
      <x:c r="P54" s="42" t="str"/>
      <x:c r="Q54" s="42" t="str">
        <x:v>Debug 2026-09-03</x:v>
      </x:c>
      <x:c r="R54" s="42" t="str">
        <x:v>root</x:v>
      </x:c>
      <x:c r="S54" s="52" t="n">
        <x:v>46271.235232465275</x:v>
      </x:c>
      <x:c r="T54" s="42"/>
    </x:row>
    <x:row r="55">
      <x:c r="A55" s="45" t="str">
        <x:v>XFR-003</x:v>
      </x:c>
      <x:c r="B55" s="45" t="str">
        <x:v>Transfer</x:v>
      </x:c>
      <x:c r="C55" s="45" t="str">
        <x:v>Explicit</x:v>
      </x:c>
      <x:c r="D55" s="42" t="str">
        <x:v>As a user, I can import a valid dockit export.</x:v>
      </x:c>
      <x:c r="E55" s="42" t="str">
        <x:v>A valid local file creates usable local profiles with saved name, color, ordering, and spacers.</x:v>
      </x:c>
      <x:c r="F55" s="42" t="str">
        <x:v>Import a known fixture and activate each imported profile.</x:v>
      </x:c>
      <x:c r="G55" s="42" t="str">
        <x:v>Sources/Dockit/AppModel.swift; Sources/Dockit/ImportProfilesView.swift; Sources/DockitCore/DockitArchive.swift</x:v>
      </x:c>
      <x:c r="H55" s="48" t="str">
        <x:v>Fixing</x:v>
      </x:c>
      <x:c r="I55" s="48" t="str">
        <x:v>Pass</x:v>
      </x:c>
      <x:c r="J55" s="48" t="str">
        <x:v>Fail</x:v>
      </x:c>
      <x:c r="K55" s="48" t="str">
        <x:v>Not applicable</x:v>
      </x:c>
      <x:c r="L55" s="48" t="str">
        <x:v>Blocked</x:v>
      </x:c>
      <x:c r="M55" s="42" t="str">
        <x:v>TR-IMPORT-UI-001, TR-IMPORT-UI-002, TR-CORE-REGRESSION-003, TR-CORE-REGRESSION-004, TR-TRANSFER-MODEL-GREEN-001, TR-TRANSFER-DARK-001, TR-TRANSFER-INGRESS-RED-001, TR-TRANSFER-INGRESS-GREEN-001, TR-NATIVE-PANEL-CUA-BLOCKED-001, TR-APP-HOSTED-FINAL-001, TR-APP-HOSTED-POST-SEPARATOR-001, TR-IMPORT-LIGHT-RETEST-001, TR-TRANSFER-ROUNDTRIP-001</x:v>
      </x:c>
      <x:c r="N55" s="42" t="str">
        <x:v>EV-IMPORT-001, EV-IMPORT-002, EV-IMPORT-003, EV-CORE-002, EV-TRANSFER-MODEL-GREEN-001, EV-TRANSFER-ROUNDTRIP-001, EV-IMPORT-DARK-BEFORE-FIX-001, EV-TRANSFER-FOLLOWUP-MODEL-001, EV-NATIVE-PANEL-CORRECTION-001, EV-APP-HOSTED-FINAL-001, EV-APP-HOSTED-POST-SEPARATOR-001, EV-IMPORT-LIGHT-RETEST-001</x:v>
      </x:c>
      <x:c r="O55" s="42" t="str">
        <x:v>DEF-018, DEF-046, DEF-047, DEF-048, DEF-057</x:v>
      </x:c>
      <x:c r="P55" s="42" t="str"/>
      <x:c r="Q55" s="42" t="str">
        <x:v>Debug 2026-09-03</x:v>
      </x:c>
      <x:c r="R55" s="42" t="str">
        <x:v>root</x:v>
      </x:c>
      <x:c r="S55" s="52" t="n">
        <x:v>46271.23523247685</x:v>
      </x:c>
      <x:c r="T55" s="42" t="str">
        <x:v>The native light import completes with the version 1 fixture, returns to focused settings, and appends the renamed two-item profile as inactive. Dark appearance, activation on the real Dock, keyboard, VoiceOver, and remaining cancellation paths stay open.</x:v>
      </x:c>
    </x:row>
    <x:row r="56">
      <x:c r="A56" s="45" t="str">
        <x:v>XFR-004</x:v>
      </x:c>
      <x:c r="B56" s="45" t="str">
        <x:v>Transfer</x:v>
      </x:c>
      <x:c r="C56" s="45" t="str">
        <x:v>Safety guardrail</x:v>
      </x:c>
      <x:c r="D56" s="42" t="str">
        <x:v>As a user, a malformed import cannot damage my current setup.</x:v>
      </x:c>
      <x:c r="E56" s="42" t="str">
        <x:v>Invalid, corrupt, or unsupported import data changes neither saved profiles nor the actual Dock.</x:v>
      </x:c>
      <x:c r="F56" s="42" t="str">
        <x:v>Attempt malformed and unsupported imports. Compare profiles and actual Dock before and after.</x:v>
      </x:c>
      <x:c r="G56" s="42" t="str">
        <x:v>Sources/DockitCore/DockitArchive.swift; Sources/DockitCore/DockLibrary.swift; Tests/DockitCoreTests/DockLibraryTests.swift</x:v>
      </x:c>
      <x:c r="H56" s="48" t="str">
        <x:v>Ready for retest</x:v>
      </x:c>
      <x:c r="I56" s="48" t="str">
        <x:v>Pass</x:v>
      </x:c>
      <x:c r="J56" s="48" t="str">
        <x:v>Pass</x:v>
      </x:c>
      <x:c r="K56" s="48" t="str">
        <x:v>Not applicable</x:v>
      </x:c>
      <x:c r="L56" s="48" t="str">
        <x:v>Not run</x:v>
      </x:c>
      <x:c r="M56" s="42" t="str">
        <x:v>TR-CORE-SAFETY-001, TR-IMPORT-MALFORMED-001, TR-CORE-REGRESSION-003, TR-CORE-REGRESSION-004</x:v>
      </x:c>
      <x:c r="N56" s="42" t="str">
        <x:v>EV-IMPORT-004, EV-CORE-001, EV-CORE-002</x:v>
      </x:c>
      <x:c r="O56" s="42" t="str"/>
      <x:c r="P56" s="42" t="str">
        <x:v>XFR-003, XFR-005, XFR-006</x:v>
      </x:c>
      <x:c r="Q56" s="42" t="str">
        <x:v>Swift 6.3.3</x:v>
      </x:c>
      <x:c r="R56" s="42" t="str">
        <x:v>root</x:v>
      </x:c>
      <x:c r="S56" s="52" t="n">
        <x:v>46269.26326388889</x:v>
      </x:c>
      <x:c r="T56" s="42" t="str">
        <x:v>Malformed file rejection passed in core validation and the native import flow. Second full sweep remains.</x:v>
      </x:c>
    </x:row>
    <x:row r="57">
      <x:c r="A57" s="45" t="str">
        <x:v>XFR-005</x:v>
      </x:c>
      <x:c r="B57" s="45" t="str">
        <x:v>Transfer</x:v>
      </x:c>
      <x:c r="C57" s="45" t="str">
        <x:v>Settled</x:v>
      </x:c>
      <x:c r="D57" s="42" t="str">
        <x:v>As a user, I can resolve an import name conflict deliberately.</x:v>
      </x:c>
      <x:c r="E57" s="42" t="str">
        <x:v>Import previews profile-name collisions and creates a renamed copy by default unless the user explicitly chooses another supported resolution.</x:v>
      </x:c>
      <x:c r="F57" s="42" t="str">
        <x:v>Import a profile with an existing name. Confirm preview, cancellation, default result, and source profile preservation.</x:v>
      </x:c>
      <x:c r="G57" s="42" t="str">
        <x:v>DEC-10; Sources/Dockit/AppModel.swift; Sources/Dockit/ImportProfilesView.swift; Sources/DockitCore/DockitArchive.swift</x:v>
      </x:c>
      <x:c r="H57" s="48" t="str">
        <x:v>Fixing</x:v>
      </x:c>
      <x:c r="I57" s="48" t="str">
        <x:v>Pass</x:v>
      </x:c>
      <x:c r="J57" s="48" t="str">
        <x:v>Fail</x:v>
      </x:c>
      <x:c r="K57" s="48" t="str">
        <x:v>Not applicable</x:v>
      </x:c>
      <x:c r="L57" s="48" t="str">
        <x:v>Not run</x:v>
      </x:c>
      <x:c r="M57" s="42" t="str">
        <x:v>TR-IMPORT-UI-001, TR-IMPORT-UI-002, TR-CORE-SAFETY-001, TR-CORE-REGRESSION-003, TR-CORE-REGRESSION-004, TR-TRANSFER-MODEL-GREEN-001, TR-TRANSFER-DARK-001, TR-APP-HOSTED-FINAL-001, TR-APP-HOSTED-POST-SEPARATOR-001, TR-IMPORT-LIGHT-RETEST-001, TR-TRANSFER-ROUNDTRIP-001</x:v>
      </x:c>
      <x:c r="N57" s="42" t="str">
        <x:v>EV-IMPORT-001, EV-IMPORT-002, EV-IMPORT-003, EV-CORE-001, EV-CORE-002, EV-TRANSFER-MODEL-GREEN-001, EV-IMPORT-DARK-BEFORE-FIX-001, EV-APP-HOSTED-FINAL-001, EV-APP-HOSTED-POST-SEPARATOR-001, EV-IMPORT-LIGHT-RETEST-001, EV-TRANSFER-ROUNDTRIP-001</x:v>
      </x:c>
      <x:c r="O57" s="42" t="str">
        <x:v>DEF-018, DEF-048</x:v>
      </x:c>
      <x:c r="P57" s="42" t="str"/>
      <x:c r="Q57" s="42" t="str">
        <x:v>Debug 2026-09-03</x:v>
      </x:c>
      <x:c r="R57" s="42" t="str">
        <x:v>root</x:v>
      </x:c>
      <x:c r="S57" s="52" t="n">
        <x:v>46271.23523248843</x:v>
      </x:c>
      <x:c r="T57" s="42" t="str">
        <x:v>The light preview shows the collision as a renamed copy and the editor shows that appended copy inactive after import. Cancellation, alternate collisions, dark appearance, keyboard, and VoiceOver remain open.</x:v>
      </x:c>
    </x:row>
    <x:row r="58">
      <x:c r="A58" s="45" t="str">
        <x:v>XFR-006</x:v>
      </x:c>
      <x:c r="B58" s="45" t="str">
        <x:v>Transfer</x:v>
      </x:c>
      <x:c r="C58" s="45" t="str">
        <x:v>Settled</x:v>
      </x:c>
      <x:c r="D58" s="42" t="str">
        <x:v>As a user, I can keep and apply a saved app that is unavailable on this Mac.</x:v>
      </x:c>
      <x:c r="E58" s="42" t="str">
        <x:v>dockit retains and visibly marks unavailable application references. Applying the profile skips unavailable entries, applies every available app and spacer in saved order, reports what was skipped, and never blocks behind a replacement preflight.</x:v>
      </x:c>
      <x:c r="F58" s="42" t="str">
        <x:v>Import and edit profiles with unavailable apps at several positions, apply them in one action, and confirm available entries and spacers apply in order, unavailable references stay saved, skipped items are reported, and the real Dock is unchanged when no apply is chosen.</x:v>
      </x:c>
      <x:c r="G58" s="42" t="str">
        <x:v>DEC-11; Sources/Dockit/AppModel.swift; Sources/Dockit/ImportView.swift; Tests/DockitAppTests/AppModelTests.swift</x:v>
      </x:c>
      <x:c r="H58" s="48" t="str">
        <x:v>Ready for retest</x:v>
      </x:c>
      <x:c r="I58" s="48" t="str">
        <x:v>Pass</x:v>
      </x:c>
      <x:c r="J58" s="48" t="str">
        <x:v>Fail</x:v>
      </x:c>
      <x:c r="K58" s="48" t="str">
        <x:v>Not applicable</x:v>
      </x:c>
      <x:c r="L58" s="48" t="str">
        <x:v>Not run</x:v>
      </x:c>
      <x:c r="M58" s="42" t="str">
        <x:v>TR-MISSING-APP-001, TR-MISSING-APP-002, TR-CORE-SAFETY-001, TR-CORE-REGRESSION-003, TR-CORE-REGRESSION-004, TR-APP-MODEL-GREEN-001, TR-TRANSFER-MODEL-GREEN-001, TR-TRANSFER-DARK-001, TR-COPY-HELP-AUDIT-001, TR-ACTIVATION-RELINK-RED-001, TR-ACTIVATION-RELINK-GREEN-001, TR-ACTIVATION-RELINK-GREEN-002, TR-LEDGER-LIQUID-CHECKPOINT-001, TR-APP-HOSTED-FINAL-001, TR-APP-HOSTED-POST-SEPARATOR-001, TR-IMPORT-LIGHT-RETEST-001, TR-MISSING-APPS-LIGHT-REVIEW-RED-001, TR-MISSING-APPS-EMPTY-ROWS-GREEN-001, TR-MISSING-APPS-CANCEL-LIGHT-001, TR-MISSING-APPS-RESIZE-RED-001, TR-MISSING-APPS-FITTED-GREEN-001, TR-MISSING-APPS-REPLACEMENT-DARK-001, TR-MISSING-APPS-SKIP-DEMO-LIGHT-001, TR-RETRY-STALE-ALERT-AUTO-RED, TR-RETRY-STALE-ALERT-AUTO-GREEN, TR-TRANSFER-ROUNDTRIP-001, TR-RECOVERY-MODEL-20260906, TR-FULL-AUTOMATED-20260906, TR-UNAVAILABLE-DIALOG-20260906, TR-RECOVERY-POINTER-RETRY-20260906, TR-NATIVE-DRAG-LAYOUT-20260906, TR-FINISHING-20260906</x:v>
      </x:c>
      <x:c r="N58" s="42" t="str">
        <x:v>EV-MISSING-001, EV-MISSING-002, EV-MISSING-003, EV-CORE-001, EV-CORE-002, EV-APP-MODEL-GREEN-001, EV-TRANSFER-MODEL-GREEN-001, EV-IMPORT-DARK-BEFORE-FIX-001, EV-COPY-HELP-AUDIT-001, EV-ACTIVATION-RELINK-RED-001, EV-ACTIVATION-RELINK-GREEN-001, EV-ACTIVATION-RELINK-GREEN-002, EV-ACTIVATION-RELINK-SUMMARY-001, EV-LEDGER-ACTIVATION-GLASS-001, EV-APP-HOSTED-FINAL-001, EV-APP-HOSTED-POST-SEPARATOR-001, EV-IMPORT-LIGHT-RETEST-001, EV-MISSING-APPS-LIGHT-EMPTY-ROWS-001, EV-MISSING-APPS-EMPTY-ROWS-GREEN-001, EV-MISSING-APPS-CANCEL-LIGHT-001, EV-MISSING-APPS-RESIZE-RED-001, EV-MISSING-APPS-FITTED-GREEN-001, EV-MISSING-APPS-REPLACEMENT-DARK-001, EV-MISSING-APPS-SKIP-DEMO-LIGHT-001, EV-RETRY-STALE-ALERT-AUTO-RED, EV-RETRY-STALE-ALERT-GREEN, EV-TRANSFER-ROUNDTRIP-001, EV-RECOVERY-MODEL-20260906, EV-FULL-AUTOMATED-20260906, EV-RECOVERY-RETRY-20260906, EV-NATIVE-DRAG-LAYOUT-20260906, EV-FINISHING-20260906</x:v>
      </x:c>
      <x:c r="O58" s="42" t="str">
        <x:v>DEF-017, DEF-037, DEF-040, DEF-047, DEF-054, DEF-055, DEF-067, DEF-069, DEF-095, DEF-097</x:v>
      </x:c>
      <x:c r="P58" s="42" t="str"/>
      <x:c r="Q58" s="42" t="str">
        <x:v>source 2026-09-04</x:v>
      </x:c>
      <x:c r="R58" s="42" t="str">
        <x:v>root</x:v>
      </x:c>
      <x:c r="S58" s="52" t="n">
        <x:v>46271.30391829861</x:v>
      </x:c>
      <x:c r="T58" s="42" t="str">
        <x:v>The recovery sheet now resizes natively at its ideal and minimum sizes in light and dark, with no empty stripes. Cancel preserves the prior active profile. Demo replacement and skip-and-apply retain item order and unavailable data. Production skipped-entry reporting, disk persistence, real Dock application, keyboard, VoiceOver, and accessibility appearances remain open.</x:v>
      </x:c>
    </x:row>
    <x:row r="59">
      <x:c r="A59" s="45" t="str">
        <x:v>REL-001</x:v>
      </x:c>
      <x:c r="B59" s="45" t="str">
        <x:v>Recovery</x:v>
      </x:c>
      <x:c r="C59" s="45" t="str">
        <x:v>Settled</x:v>
      </x:c>
      <x:c r="D59" s="42" t="str">
        <x:v>As a user, a failed Dock update does not leave me in an unknown state.</x:v>
      </x:c>
      <x:c r="E59" s="42" t="str">
        <x:v>dockit records the failed apply, restores or preserves the prior known state where possible, and presents a clear retry or recovery path.</x:v>
      </x:c>
      <x:c r="F59" s="42" t="str">
        <x:v>Inject an apply failure. Confirm active status, saved profiles, actual Dock, error visibility, and retry behavior.</x:v>
      </x:c>
      <x:c r="G59" s="42" t="str">
        <x:v>Sources/Dockit/AppModel.swift; Sources/Dockit/ContentView.swift; Tests/DockitAppTests/AppModelTests.swift:843</x:v>
      </x:c>
      <x:c r="H59" s="48" t="str">
        <x:v>Ready for retest</x:v>
      </x:c>
      <x:c r="I59" s="48" t="str">
        <x:v>Pass</x:v>
      </x:c>
      <x:c r="J59" s="48" t="str">
        <x:v>Not run</x:v>
      </x:c>
      <x:c r="K59" s="48" t="str">
        <x:v>Not run</x:v>
      </x:c>
      <x:c r="L59" s="48" t="str">
        <x:v>Not run</x:v>
      </x:c>
      <x:c r="M59" s="42" t="str">
        <x:v>TR-CODE-AUDIT-001, TR-CORE-SAFETY-001, TR-P0-003-NONPROFILE-FAIL, TR-P0-003-NONPROFILE-PASS, TR-FOCUS-ORDER-AUDIT-001, TR-FOCUS-CORE-001, TR-CORE-REGRESSION-003, TR-CORE-REGRESSION-004, TR-FOCUS-RACE-001, TR-APP-MODEL-GREEN-001, TR-FOCUS-MODEL-GREEN-001, TR-COPY-HELP-AUDIT-001, TR-ACTIVATION-DUPLICATE-AUDIT-001, TR-ACTIVATION-RELINK-RED-001, TR-ACTIVATION-RELINK-GREEN-001, TR-ACTIVATION-RELINK-GREEN-002, TR-LEDGER-LIQUID-CHECKPOINT-001, TR-APP-HOSTED-FINAL-001, TR-APP-HOSTED-POST-SEPARATOR-001, TR-RECOVERY-INPUT-INTERRUPTED, TR-RECOVERY-DISMISSAL-REGRESSION, TR-LIBRARY-ATOMIC-SAVE-FINAL, TR-LIBRARY-ATOMIC-SAVE-HOSTED, TR-RETRY-STALE-ALERT-RED, TR-RETRY-STALE-ALERT-AUTO-RED, TR-RETRY-STALE-ALERT-AUTO-GREEN, TR-RETRY-STALE-ALERT-LIVE-GREEN, TR-RECOVERY-MODEL-20260906, TR-FULL-AUTOMATED-20260906, TR-UNAVAILABLE-DIALOG-20260906, TR-RECOVERY-POINTER-RETRY-20260906</x:v>
      </x:c>
      <x:c r="N59" s="42" t="str">
        <x:v>EV-P0-004, EV-P0-005, EV-P0-007, EV-CORE-001, EV-CORE-002, EV-FOCUS-019, EV-APP-MODEL-GREEN-001, EV-FOCUS-MODEL-GREEN-001, EV-COPY-HELP-AUDIT-001, EV-ACTIVATION-DUPLICATE-AUDIT-001, EV-ACTIVATION-RELINK-RED-001, EV-ACTIVATION-RELINK-GREEN-001, EV-ACTIVATION-RELINK-GREEN-002, EV-ACTIVATION-RELINK-SUMMARY-001, EV-LEDGER-ACTIVATION-GLASS-001, EV-APP-HOSTED-FINAL-001, EV-APP-HOSTED-POST-SEPARATOR-001, EV-RECOVERY-INPUT-INTERRUPTED, EV-RECOVERY-DISMISSAL-REGRESSION, EV-LIBRARY-ATOMIC-SAVE-FINAL, EV-LIBRARY-ATOMIC-SAVE-HOSTED, EV-RETRY-STALE-ALERT-RED, EV-RETRY-STALE-ALERT-AUTO-RED, EV-RETRY-STALE-ALERT-GREEN, EV-RECOVERY-MODEL-20260906, EV-FULL-AUTOMATED-20260906, EV-RECOVERY-RETRY-20260906</x:v>
      </x:c>
      <x:c r="O59" s="42" t="str">
        <x:v>DEF-009, DEF-013, DEF-015, DEF-041, DEF-049, DEF-055, DEF-056, DEF-092, DEF-095</x:v>
      </x:c>
      <x:c r="P59" s="42" t="str">
        <x:v>PRV-001, PRF-027</x:v>
      </x:c>
      <x:c r="Q59" s="42" t="str">
        <x:v>Debug 2026-09-03</x:v>
      </x:c>
      <x:c r="R59" s="42" t="str">
        <x:v>root</x:v>
      </x:c>
      <x:c r="S59" s="52" t="n">
        <x:v>46271.26877248842</x:v>
      </x:c>
      <x:c r="T59" s="42" t="str">
        <x:v>Controlled simulated recovery and two model regressions preserve pending edits and prior active state. The interrupted GUI attempt is excluded. Real Dock rollback, interruption and complete recovery gates remain open.</x:v>
      </x:c>
    </x:row>
    <x:row r="60">
      <x:c r="A60" s="45" t="str">
        <x:v>REL-002</x:v>
      </x:c>
      <x:c r="B60" s="45" t="str">
        <x:v>Recovery</x:v>
      </x:c>
      <x:c r="C60" s="45" t="str">
        <x:v>Settled</x:v>
      </x:c>
      <x:c r="D60" s="42" t="str">
        <x:v>As a user, I can recover after dockit quits or the system interrupts an update.</x:v>
      </x:c>
      <x:c r="E60" s="42" t="str">
        <x:v>On next launch, dockit detects an incomplete operation, reconciles the actual Dock, and gives the user a safe outcome rather than assuming success.</x:v>
      </x:c>
      <x:c r="F60" s="42" t="str">
        <x:v>Interrupt an update in a test environment, relaunch, and inspect reconciliation and recovery choices.</x:v>
      </x:c>
      <x:c r="G60" s="42" t="str">
        <x:v>Sources/DockitCore/DockApplyCoordinator.swift; Sources/DockitCore/DockActivationService.swift; Tests/DockitCoreTests/DockApplyCoordinatorTests.swift</x:v>
      </x:c>
      <x:c r="H60" s="48" t="str">
        <x:v>Ready for retest</x:v>
      </x:c>
      <x:c r="I60" s="48" t="str">
        <x:v>Pass</x:v>
      </x:c>
      <x:c r="J60" s="48" t="str">
        <x:v>Not run</x:v>
      </x:c>
      <x:c r="K60" s="48" t="str">
        <x:v>Not run</x:v>
      </x:c>
      <x:c r="L60" s="48" t="str">
        <x:v>Not run</x:v>
      </x:c>
      <x:c r="M60" s="42" t="str">
        <x:v>TR-CODE-AUDIT-001, TR-CORE-SAFETY-001, TR-P0-003-NONPROFILE-FAIL, TR-P0-003-NONPROFILE-PASS, TR-RECONCILE-001, TR-CORE-REGRESSION-004, TR-FOCUS-CLOSED-001, TR-FOCUS-CLOSED-002, TR-APP-MODEL-GREEN-001, TR-FOCUS-MODEL-GREEN-001, TR-APP-HOSTED-FINAL-001, TR-APP-HOSTED-POST-SEPARATOR-001, TR-RECOVERY-MODEL-20260906, TR-FULL-AUTOMATED-20260906</x:v>
      </x:c>
      <x:c r="N60" s="42" t="str">
        <x:v>EV-P0-004, EV-P0-005, EV-P0-006, EV-P0-007, EV-RECON-001, EV-RECON-005, EV-CORE-001, EV-CORE-002, EV-FOCUS-016, EV-FOCUS-017, EV-FOCUS-018, EV-APP-MODEL-GREEN-001, EV-FOCUS-MODEL-GREEN-001, EV-APP-HOSTED-FINAL-001, EV-APP-HOSTED-POST-SEPARATOR-001, EV-RECOVERY-MODEL-20260906, EV-FULL-AUTOMATED-20260906</x:v>
      </x:c>
      <x:c r="O60" s="42" t="str">
        <x:v>DEF-007, DEF-013, DEF-038, DEF-039, DEF-043, DEF-049</x:v>
      </x:c>
      <x:c r="P60" s="42" t="str">
        <x:v>REL-001, PRF-009, PRF-025</x:v>
      </x:c>
      <x:c r="Q60" s="42" t="str">
        <x:v>Signed Debug 2026-09-04</x:v>
      </x:c>
      <x:c r="R60" s="42" t="str">
        <x:v>root</x:v>
      </x:c>
      <x:c r="S60" s="52" t="n">
        <x:v>46271.26359550926</x:v>
      </x:c>
      <x:c r="T60" s="42" t="str">
        <x:v>Hosted tests pass interrupted recovery, save-failure atomicity, and request-scoped reviewed snapshots. A terminated-process recovery run and visible recovery choices remain open.</x:v>
      </x:c>
    </x:row>
    <x:row r="61">
      <x:c r="A61" s="45" t="str">
        <x:v>REL-003</x:v>
      </x:c>
      <x:c r="B61" s="45" t="str">
        <x:v>Recovery</x:v>
      </x:c>
      <x:c r="C61" s="45" t="str">
        <x:v>Native-quality constraint</x:v>
      </x:c>
      <x:c r="D61" s="42" t="str">
        <x:v>As a user, I receive restrained native feedback after a manual or automatic switch.</x:v>
      </x:c>
      <x:c r="E61" s="42" t="str">
        <x:v>dockit confirms success without unnecessary modal interruption and explains failures in context.</x:v>
      </x:c>
      <x:c r="F61" s="42" t="str">
        <x:v>Review successful and failed switch feedback in each entry point with screenshots and VoiceOver.</x:v>
      </x:c>
      <x:c r="G61" s="42" t="str">
        <x:v>Sources/Dockit/AppModel.swift; Sources/Dockit/ProfileDetailView.swift; Sources/Dockit/ReconciliationView.swift</x:v>
      </x:c>
      <x:c r="H61" s="48" t="str">
        <x:v>Ready for retest</x:v>
      </x:c>
      <x:c r="I61" s="48" t="str">
        <x:v>Pass</x:v>
      </x:c>
      <x:c r="J61" s="48" t="str">
        <x:v>Not run</x:v>
      </x:c>
      <x:c r="K61" s="48" t="str">
        <x:v>Blocked</x:v>
      </x:c>
      <x:c r="L61" s="48" t="str">
        <x:v>Not run</x:v>
      </x:c>
      <x:c r="M61" s="42" t="str">
        <x:v>TR-ACTIVATION-QUEUE-001, TR-RECONCILE-001, TR-FLAT-APPEARANCE-BOUNDED, TR-NATIVE-DRAG-FLAT-INCONCLUSIVE, TR-STATUS-FOREGROUND-FINAL, TR-RECOVERY-DISMISSAL-REGRESSION</x:v>
      </x:c>
      <x:c r="N61" s="42" t="str">
        <x:v>EV-ACT-002, EV-RECON-001, EV-MOTION-001, EV-FLAT-APPEARANCE-BOUNDED, EV-NATIVE-DRAG-FLAT-INCONCLUSIVE, EV-STATUS-FOREGROUND-FINAL, EV-RECOVERY-DISMISSAL-REGRESSION</x:v>
      </x:c>
      <x:c r="O61" s="42" t="str">
        <x:v>DEF-081, DEF-083, DEF-084, DEF-085, DEF-076</x:v>
      </x:c>
      <x:c r="P61" s="42" t="str"/>
      <x:c r="Q61" s="42" t="str">
        <x:v>flat-feedback-final, macOS 26.6, ad-hoc isolated demo 2026-09-05</x:v>
      </x:c>
      <x:c r="R61" s="42" t="str">
        <x:v>root</x:v>
      </x:c>
      <x:c r="S61" s="52" t="n">
        <x:v>46270.86948769676</x:v>
      </x:c>
      <x:c r="T61" s="42" t="str">
        <x:v>The actual dark failure alert is readable and its controlled dismissal preserves pending feedback. No current recording, VoiceOver or motion pass.</x:v>
      </x:c>
    </x:row>
    <x:row r="62">
      <x:c r="A62" s="45" t="str">
        <x:v>REL-004</x:v>
      </x:c>
      <x:c r="B62" s="45" t="str">
        <x:v>Release</x:v>
      </x:c>
      <x:c r="C62" s="45" t="str">
        <x:v>Settled</x:v>
      </x:c>
      <x:c r="D62" s="42" t="str">
        <x:v>As a user, I can install a trusted dockit build.</x:v>
      </x:c>
      <x:c r="E62" s="42" t="str">
        <x:v>Release artifacts are signed, notarized, and present expected macOS trust behavior before distribution.</x:v>
      </x:c>
      <x:c r="F62" s="42" t="str">
        <x:v>Build a release candidate, verify signature and notarization, and install on a clean test account.</x:v>
      </x:c>
      <x:c r="G62" s="42" t="str">
        <x:v>DEC-13</x:v>
      </x:c>
      <x:c r="H62" s="48" t="str">
        <x:v>Ready to build</x:v>
      </x:c>
      <x:c r="I62" s="48" t="str">
        <x:v>Not run</x:v>
      </x:c>
      <x:c r="J62" s="48" t="str">
        <x:v>Not run</x:v>
      </x:c>
      <x:c r="K62" s="48" t="str">
        <x:v>Not run</x:v>
      </x:c>
      <x:c r="L62" s="48" t="str">
        <x:v>Not run</x:v>
      </x:c>
      <x:c r="M62" s="42" t="str">
        <x:v>TR-DEVELOPMENT-REGISTRATION-001, TR-FOCUS-REGISTRATION-RED-001, TR-FOCUS-REGISTRATION-RETEST-001, TR-FOCUS-NORMAL-LAUNCH-001, TR-FOCUS-FIXTURE-CLEANUP-001</x:v>
      </x:c>
      <x:c r="N62" s="42" t="str">
        <x:v>EV-P0-002, EV-DEVELOPMENT-REGISTRATION-001, EV-FOCUS-REGISTRATION-RED-001, EV-FOCUS-REGISTRATION-RETEST-001, EV-FOCUS-NORMAL-LAUNCH-001, EV-FOCUS-FIXTURE-CLEANUP-001</x:v>
      </x:c>
      <x:c r="O62" s="42" t="str">
        <x:v>DEF-096</x:v>
      </x:c>
      <x:c r="P62" s="42" t="str"/>
      <x:c r="Q62" s="42" t="str"/>
      <x:c r="R62" s="42" t="str">
        <x:v>root</x:v>
      </x:c>
      <x:c r="S62" s="52" t="n">
        <x:v>46271.1323284375</x:v>
      </x:c>
      <x:c r="T62" s="42" t="str">
        <x:v>Harness defect closed. Release story remains untested.</x:v>
      </x:c>
    </x:row>
    <x:row r="63">
      <x:c r="A63" s="46" t="str">
        <x:v>REL-005</x:v>
      </x:c>
      <x:c r="B63" s="46" t="str">
        <x:v>Release</x:v>
      </x:c>
      <x:c r="C63" s="46" t="str">
        <x:v>Settled</x:v>
      </x:c>
      <x:c r="D63" s="43" t="str">
        <x:v>As a user, I can understand a blocked permission or unsupported integration.</x:v>
      </x:c>
      <x:c r="E63" s="43" t="str">
        <x:v>dockit presents an actionable native explanation, does not claim success, and keeps the current Dock intact.</x:v>
      </x:c>
      <x:c r="F63" s="43" t="str">
        <x:v>Deny every required capability and inspect recovery paths and actual Dock preservation.</x:v>
      </x:c>
      <x:c r="G63" s="43" t="str">
        <x:v>DEC-08; DEC-14; Sources/Dockit/AppModel.swift; Sources/Dockit/SettingsView.swift; Configuration/FocusExtension-Info.plist</x:v>
      </x:c>
      <x:c r="H63" s="49" t="str">
        <x:v>Ready for test</x:v>
      </x:c>
      <x:c r="I63" s="49" t="str">
        <x:v>Not run</x:v>
      </x:c>
      <x:c r="J63" s="49" t="str">
        <x:v>Not run</x:v>
      </x:c>
      <x:c r="K63" s="49" t="str">
        <x:v>Not run</x:v>
      </x:c>
      <x:c r="L63" s="49" t="str">
        <x:v>Not run</x:v>
      </x:c>
      <x:c r="M63" s="43" t="str">
        <x:v>TR-FOCUS-REGISTRATION-001, TR-FOCUS-REGISTRATION-002</x:v>
      </x:c>
      <x:c r="N63" s="43" t="str">
        <x:v>EV-FOCUS-005</x:v>
      </x:c>
      <x:c r="O63" s="43" t="str">
        <x:v>DEF-021</x:v>
      </x:c>
      <x:c r="P63" s="43" t="str"/>
      <x:c r="Q63" s="43" t="str">
        <x:v>Signed Debug 2026-09-04</x:v>
      </x:c>
      <x:c r="R63" s="43" t="str">
        <x:v>root</x:v>
      </x:c>
      <x:c r="S63" s="61" t="n">
        <x:v>46269.227800925924</x:v>
      </x:c>
      <x:c r="T63" s="43" t="str">
        <x:v>The positive capability path reports availability correctly. Denied and unsupported cases remain for the release sweep.</x:v>
      </x:c>
    </x:row>
    <x:row r="64">
      <x:c r="A64" s="58" t="str">
        <x:v>BRD-001</x:v>
      </x:c>
      <x:c r="B64" s="58" t="str">
        <x:v>Brand</x:v>
      </x:c>
      <x:c r="C64" s="58" t="str">
        <x:v>User constraint</x:v>
      </x:c>
      <x:c r="D64" s="57" t="str">
        <x:v>As a user, every sentence and label written by dockit uses lowercase text.</x:v>
      </x:c>
      <x:c r="E64" s="57" t="str">
        <x:v>All app-authored window titles, headings, buttons, menus, alerts, setup copy, status text, Focus copy, accessibility labels, and release names use lowercase. System-provided application names, user data, file paths, version strings, identifiers, and the generic macOS Dock name preserve their real casing.</x:v>
      </x:c>
      <x:c r="F64" s="57" t="str">
        <x:v>Exercise every surface and error state, inspect built resources and release artifacts, and confirm no app-authored uppercase text remains while user and system values retain their casing.</x:v>
      </x:c>
      <x:c r="G64" s="57" t="str">
        <x:v>DEC-21; Configuration/Info.plist; project.yml; Sources/Dockit; Sources/DockitFocusExtension; Tools/Release/release.sh</x:v>
      </x:c>
      <x:c r="H64" s="57" t="str">
        <x:v>Fixing</x:v>
      </x:c>
      <x:c r="I64" s="57" t="str">
        <x:v>Not run</x:v>
      </x:c>
      <x:c r="J64" s="57" t="str">
        <x:v>Fail</x:v>
      </x:c>
      <x:c r="K64" s="57" t="str">
        <x:v>Not applicable</x:v>
      </x:c>
      <x:c r="L64" s="57" t="str">
        <x:v>Not run</x:v>
      </x:c>
      <x:c r="M64" s="57" t="str">
        <x:v>TR-EDITOR-DARK-001, TR-MENU-LIVE-001, TR-MENU-MODEL-GREEN-001, TR-APP-HOSTED-FINAL-001, TR-APP-HOSTED-POST-SEPARATOR-001</x:v>
      </x:c>
      <x:c r="N64" s="57" t="str">
        <x:v>EV-INTERACTION-REVIEW-001, EV-MENU-MODEL-GREEN-001, EV-APP-HOSTED-FINAL-001, EV-APP-HOSTED-POST-SEPARATOR-001</x:v>
      </x:c>
      <x:c r="O64" s="57" t="str">
        <x:v>DEF-045</x:v>
      </x:c>
      <x:c r="P64" s="57" t="str"/>
      <x:c r="Q64" s="57" t="str">
        <x:v>source 2026-09-04</x:v>
      </x:c>
      <x:c r="R64" s="57" t="str">
        <x:v>root</x:v>
      </x:c>
      <x:c r="S64" s="62" t="n">
        <x:v>46269.96274534722</x:v>
      </x:c>
      <x:c r="T64" s="57" t="str">
        <x:v>The inspected editor and settings copy is lowercase while system application names and paths retain their casing. A transient native menu rebuild restored capitalized stock titles and removed docks, so the full runtime branding gate remains open.</x:v>
      </x:c>
    </x:row>
    <x:row r="65">
      <x:c r="A65" s="58" t="str">
        <x:v>PRF-028</x:v>
      </x:c>
      <x:c r="B65" s="58" t="str">
        <x:v>Profiles</x:v>
      </x:c>
      <x:c r="C65" s="58" t="str">
        <x:v>User constraint</x:v>
      </x:c>
      <x:c r="D65" s="57" t="str">
        <x:v>As a user, I can understand a saved Dock before activating it.</x:v>
      </x:c>
      <x:c r="E65" s="57" t="str">
        <x:v>The selected profile shows an exact-order horizontal preview of apps and spacers without changing the active Dock.</x:v>
      </x:c>
      <x:c r="F65" s="57" t="str">
        <x:v>Select inactive and active profiles with mixed app and spacer layouts. Compare the preview order, state labels, accessibility descriptions, and actual Dock behavior.</x:v>
      </x:c>
      <x:c r="G65" s="57" t="str">
        <x:v>Sources/Dockit/ContentView.swift, Sources/Dockit/ProfileDetailView.swift, DEC-04</x:v>
      </x:c>
      <x:c r="H65" s="57" t="str">
        <x:v>Fixing</x:v>
      </x:c>
      <x:c r="I65" s="57" t="str">
        <x:v>Pass</x:v>
      </x:c>
      <x:c r="J65" s="57" t="str">
        <x:v>Fail</x:v>
      </x:c>
      <x:c r="K65" s="57" t="str">
        <x:v>Not run</x:v>
      </x:c>
      <x:c r="L65" s="57" t="str">
        <x:v>Pass</x:v>
      </x:c>
      <x:c r="M65" s="57" t="str">
        <x:v>TR-EDITOR-DARK-001, TR-REFERENCE-DETAIL-VISUAL-001, TR-LIQUID-GLASS-FIRST-RETEST-001, TR-REFERENCE-FRAME-000000-REVIEW-001, TR-SMALL-SPACER-KEYBOARD-LIGHT-001, TR-REFERENCE-FRAMES-000006-000029-001, TR-REFERENCE-SPACER-INSERTION-AUDIT-001, TR-REFERENCE-FRAMES-000500-000540-MERGE-001, TR-REGULAR-SPACER-PAINT-GREEN-001, TR-REFERENCE-FRAMES-000030-000070-001, TR-PREVIEW-CONTINUOUS-REFLOW-SOURCE-RED-001, TR-REFERENCE-FRAMES-000071-000090-001, TR-STALE-DROP-RED-001, TR-REFERENCE-EDITOR-HOSTED-001, TR-INTERACTION-SWEEP-001, TR-POINTER-DRAG-RECHECK-001, TR-FULL-AUTOMATED-20260906, TR-POINTER-RETRY-20260906, TR-NATIVE-DRAG-LAYOUT-20260906, TR-FINISHING-20260906</x:v>
      </x:c>
      <x:c r="N65" s="57" t="str">
        <x:v>EV-EDITOR-DARK-DEFAULT-001, EV-EDITOR-DARK-SELECTION-001, EV-EDITOR-DARK-REORDER-001, EV-DETAILS-DARK-MINIMUM-001, EV-REFERENCE-DETAIL-APP-BEFORE-001, EV-REFERENCE-FRAME-000000-001, EV-LIQUID-GLASS-REVIEW-001, EV-LIQUID-GLASS-FIRST-AFTER-001, EV-REFERENCE-FRAME-000000-ANNOTATION-001, EV-SMALL-SPACER-KEYBOARD-LIGHT-001, EV-REFERENCE-FRAMES-000006-000029-001, EV-REFERENCE-SPACER-INSERTION-AUDIT-001, EV-REFERENCE-FRAMES-000500-000540-MERGE-001, EV-REGULAR-SPACER-PAINT-GREEN-001, EV-REFERENCE-FRAMES-000030-000070-001, EV-PREVIEW-CONTINUOUS-REFLOW-SOURCE-RED-001, EV-REFERENCE-FRAMES-000071-000090-001, EV-REFERENCE-EDITOR-HOSTED-001, EV-INTERACTION-SWEEP-001, EV-FULL-AUTOMATED-20260906, EV-NATIVE-DRAG-LAYOUT-20260906, EV-FINISHING-20260906</x:v>
      </x:c>
      <x:c r="O65" s="57" t="str">
        <x:v>DEF-044, DEF-060, DEF-071, DEF-076, DEF-078, DEF-093</x:v>
      </x:c>
      <x:c r="P65" s="57" t="str"/>
      <x:c r="Q65" s="57" t="str">
        <x:v>demo build 2026-09-04</x:v>
      </x:c>
      <x:c r="R65" s="57" t="str">
        <x:v>root</x:v>
      </x:c>
      <x:c r="S65" s="62" t="n">
        <x:v>46271.303918275466</x:v>
      </x:c>
      <x:c r="T65" s="57" t="str">
        <x:v>Immutable drag source and layout guards pass the integrated model regressions. Pointer delivery, cancellation, live reflow and motion still need controlled evidence.</x:v>
      </x:c>
    </x:row>
    <x:row r="66">
      <x:c r="A66" s="58" t="str">
        <x:v>PRF-029</x:v>
      </x:c>
      <x:c r="B66" s="58" t="str">
        <x:v>Profiles</x:v>
      </x:c>
      <x:c r="C66" s="58" t="str">
        <x:v>User constraint</x:v>
      </x:c>
      <x:c r="D66" s="57" t="str">
        <x:v>As a user, I can enter a readable profile name without hidden shortening.</x:v>
      </x:c>
      <x:c r="E66" s="57" t="str">
        <x:v>Profile names accept at most 32 grapheme clusters. Interactive input rejects additional characters and imports report overlength names without silently changing them.</x:v>
      </x:c>
      <x:c r="F66" s="57" t="str">
        <x:v>Test empty, 32-character, 33-character, composed Unicode, rename, create, duplicate, archive validation, and import paths.</x:v>
      </x:c>
      <x:c r="G66" s="57" t="str">
        <x:v>Sources/DockitCore/DockModels.swift; Sources/DockitCore/DockitArchive.swift; Tests/DockitCoreTests/DockLibraryTests.swift</x:v>
      </x:c>
      <x:c r="H66" s="57" t="str">
        <x:v>Ready for test</x:v>
      </x:c>
      <x:c r="I66" s="57" t="str">
        <x:v>Pass</x:v>
      </x:c>
      <x:c r="J66" s="57" t="str">
        <x:v>Pass</x:v>
      </x:c>
      <x:c r="K66" s="57" t="str">
        <x:v>Not applicable</x:v>
      </x:c>
      <x:c r="L66" s="57" t="str">
        <x:v>Not run</x:v>
      </x:c>
      <x:c r="M66" s="57" t="str">
        <x:v>TR-CORE-V2-001, TR-LONG-NAME-MINIMUM-LIGHT-001, TR-EDITOR-FINAL-CHROME-001, TR-NATIVE-PICKER-WRAP-MEASUREMENT-RED-001, TR-NATIVE-PICKER-CELL-HOSTED-GREEN-001, TR-NATIVE-PICKER-CELL-LIGHT-RED-001, TR-NATIVE-PICKER-BORDER-CELL-HOSTED-GREEN-001, TR-NATIVE-PICKER-SHARED-GLASS-PARTIAL-001, TR-NATIVE-PICKER-FINAL-LAYOUT-HOSTED-GREEN-001, TR-NATIVE-PICKER-COMMON-INSET-HOSTED-GREEN-001, TR-NATIVE-PICKER-COMMON-INSET-RUNTIME-GREEN-001</x:v>
      </x:c>
      <x:c r="N66" s="57" t="str">
        <x:v>EV-CORE-V2-001, EV-LONG-NAME-MINIMUM-LIGHT-001, EV-EDITOR-FINAL-CHROME-LIGHT-001, EV-EDITOR-FINAL-CHROME-DARK-001, EV-NATIVE-PICKER-WRAP-MEASUREMENT-RED-001, EV-NATIVE-PICKER-CELL-HOSTED-GREEN-001, EV-NATIVE-PICKER-CELL-LIGHT-RED-001, EV-NATIVE-PICKER-BORDER-CELL-HOSTED-GREEN-001, EV-NATIVE-PICKER-SHARED-GLASS-PARTIAL-001, EV-NATIVE-PICKER-FINAL-LAYOUT-HOSTED-GREEN-001, EV-NATIVE-PICKER-COMMON-INSET-HOSTED-GREEN-001, EV-NATIVE-PICKER-COMMON-INSET-RUNTIME-GREEN-001</x:v>
      </x:c>
      <x:c r="O66" s="57" t="str">
        <x:v>DEF-073</x:v>
      </x:c>
      <x:c r="P66" s="57" t="str"/>
      <x:c r="Q66" s="57" t="str">
        <x:v>source 2026-09-04</x:v>
      </x:c>
      <x:c r="R66" s="57" t="str">
        <x:v>root</x:v>
      </x:c>
      <x:c r="S66" s="62" t="n">
        <x:v>46270.02756755787</x:v>
      </x:c>
      <x:c r="T66" s="57" t="str">
        <x:v>Core grapheme and import validation pass. The public native toolbar picker wraps a 32-wide-CJK-grapheme name without ellipsis at 620 and 520 pixel dark widths, and its hosted size contract passes. Interactive input, composed Unicode, persistence, accessibility appearances, and remaining surfaces still need runtime evidence.</x:v>
      </x:c>
    </x:row>
    <x:row r="67">
      <x:c r="A67" s="58" t="str">
        <x:v>SET-001</x:v>
      </x:c>
      <x:c r="B67" s="58" t="str">
        <x:v>Settings</x:v>
      </x:c>
      <x:c r="C67" s="58" t="str">
        <x:v>Approved behavior</x:v>
      </x:c>
      <x:c r="D67" s="57" t="str">
        <x:v>As a user, I can review every dockit setting on one native page.</x:v>
      </x:c>
      <x:c r="E67" s="57" t="str">
        <x:v>A resizable, independently scrollable Settings window uses one compact page of native inset groups with no navigation sidebar. The page remains readable at default and minimum sizes.</x:v>
      </x:c>
      <x:c r="F67" s="57" t="str">
        <x:v>Open Settings at default and minimum sizes, resize through supported widths, use keyboard and VoiceOver navigation, and verify every group and control without hidden truncation in light and dark appearance.</x:v>
      </x:c>
      <x:c r="G67" s="57" t="str">
        <x:v>DEC-20; Sources/Dockit/SettingsView.swift</x:v>
      </x:c>
      <x:c r="H67" s="57" t="str">
        <x:v>Ready for retest</x:v>
      </x:c>
      <x:c r="I67" s="57" t="str">
        <x:v>Pass</x:v>
      </x:c>
      <x:c r="J67" s="57" t="str">
        <x:v>Pass</x:v>
      </x:c>
      <x:c r="K67" s="57" t="str">
        <x:v>Not applicable</x:v>
      </x:c>
      <x:c r="L67" s="57" t="str">
        <x:v>Not run</x:v>
      </x:c>
      <x:c r="M67" s="57" t="str">
        <x:v>TR-SETTINGS-DARK-001, TR-SETTINGS-LIGHT-LAYOUT-001, TR-SETTINGS-LIGHT-ABOUT-001, TR-INTERACTION-SWEEP-001</x:v>
      </x:c>
      <x:c r="N67" s="57" t="str">
        <x:v>EV-SETTINGS-DARK-DEFAULT-001, EV-SETTINGS-DARK-MINIMUM-001, EV-SETTINGS-LIGHT-COMPACT-TOP-001, EV-SETTINGS-LIGHT-COMPACT-LOWER-001, EV-SETTINGS-LIGHT-DEFAULT-001, EV-INTERACTION-SWEEP-001</x:v>
      </x:c>
      <x:c r="O67" s="57" t="str"/>
      <x:c r="P67" s="57" t="str"/>
      <x:c r="Q67" s="57" t="str">
        <x:v>source 2026-09-04</x:v>
      </x:c>
      <x:c r="R67" s="57" t="str">
        <x:v>root</x:v>
      </x:c>
      <x:c r="S67" s="62" t="n">
        <x:v>46271.13642767361</x:v>
      </x:c>
      <x:c r="T67" s="57" t="str">
        <x:v>Dark and light demo evidence now shows one sidebar-free page that scrolls through About without visible app-authored truncation at compact and larger sizes. Keyboard order, VoiceOver, and large text remain open.</x:v>
      </x:c>
    </x:row>
    <x:row r="68">
      <x:c r="A68" s="58" t="str">
        <x:v>SET-002</x:v>
      </x:c>
      <x:c r="B68" s="58" t="str">
        <x:v>Settings</x:v>
      </x:c>
      <x:c r="C68" s="58" t="str">
        <x:v>Explicit</x:v>
      </x:c>
      <x:c r="D68" s="57" t="str">
        <x:v>As a user, I can control launch and menu bar behavior in the main settings page.</x:v>
      </x:c>
      <x:c r="E68" s="57" t="str">
        <x:v>Native rows show the real launch-at-login state, menu bar visibility, approval status, and a working action to the relevant System Settings page. Values update without leaving stale menu state.</x:v>
      </x:c>
      <x:c r="F68" s="57" t="str">
        <x:v>Toggle both settings, cover enabled, disabled, and approval-required states, open System Settings, relaunch dockit, and verify the app and menu bar match the saved choices.</x:v>
      </x:c>
      <x:c r="G68" s="57" t="str">
        <x:v>DEC-20; Sources/Dockit/SettingsView.swift; Sources/Dockit/AppModel.swift; Sources/Dockit/DockMenuCoordinator.swift</x:v>
      </x:c>
      <x:c r="H68" s="57" t="str">
        <x:v>Ready for test</x:v>
      </x:c>
      <x:c r="I68" s="57" t="str">
        <x:v>Not run</x:v>
      </x:c>
      <x:c r="J68" s="57" t="str">
        <x:v>Pass</x:v>
      </x:c>
      <x:c r="K68" s="57" t="str">
        <x:v>Not applicable</x:v>
      </x:c>
      <x:c r="L68" s="57" t="str">
        <x:v>Not run</x:v>
      </x:c>
      <x:c r="M68" s="57" t="str">
        <x:v>TR-SETTINGS-DARK-001, TR-SETTINGS-LIGHT-LAYOUT-001</x:v>
      </x:c>
      <x:c r="N68" s="57" t="str">
        <x:v>EV-SETTINGS-DARK-DEFAULT-001, EV-SETTINGS-DARK-MINIMUM-001, EV-SETTINGS-LIGHT-COMPACT-TOP-001, EV-SETTINGS-LIGHT-DEFAULT-001</x:v>
      </x:c>
      <x:c r="O68" s="57" t="str">
        <x:v>DEF-035</x:v>
      </x:c>
      <x:c r="P68" s="57" t="str"/>
      <x:c r="Q68" s="57" t="str">
        <x:v>source 2026-09-04</x:v>
      </x:c>
      <x:c r="R68" s="57" t="str">
        <x:v>root</x:v>
      </x:c>
      <x:c r="S68" s="62" t="n">
        <x:v>46269.93247530093</x:v>
      </x:c>
      <x:c r="T68" s="57" t="str">
        <x:v>The General rows remain readable in light appearance. Login approval, persistence, menu bar visibility, and System Settings actions still need interaction testing.</x:v>
      </x:c>
    </x:row>
    <x:row r="69">
      <x:c r="A69" s="58" t="str">
        <x:v>SET-003</x:v>
      </x:c>
      <x:c r="B69" s="58" t="str">
        <x:v>Settings</x:v>
      </x:c>
      <x:c r="C69" s="58" t="str">
        <x:v>Explicit</x:v>
      </x:c>
      <x:c r="D69" s="57" t="str">
        <x:v>As a user, I can understand Focus readiness from the main settings page.</x:v>
      </x:c>
      <x:c r="E69" s="57" t="str">
        <x:v>A Focus group reports current automation availability, explains login readiness, and offers a working action to Focus settings without introducing a second navigation destination.</x:v>
      </x:c>
      <x:c r="F69" s="57" t="str">
        <x:v>Exercise available, unavailable, login-disabled, and extension-missing states, open Focus settings, and verify manual switching remains available.</x:v>
      </x:c>
      <x:c r="G69" s="57" t="str">
        <x:v>DEC-20; Sources/Dockit/SettingsView.swift; Sources/Dockit/AppModel.swift; Sources/DockitFocusExtension</x:v>
      </x:c>
      <x:c r="H69" s="57" t="str">
        <x:v>Ready for test</x:v>
      </x:c>
      <x:c r="I69" s="57" t="str">
        <x:v>Not run</x:v>
      </x:c>
      <x:c r="J69" s="57" t="str">
        <x:v>Pass</x:v>
      </x:c>
      <x:c r="K69" s="57" t="str">
        <x:v>Not applicable</x:v>
      </x:c>
      <x:c r="L69" s="57" t="str">
        <x:v>Not run</x:v>
      </x:c>
      <x:c r="M69" s="57" t="str">
        <x:v>TR-SETTINGS-DARK-001, TR-SETTINGS-LIGHT-LAYOUT-001</x:v>
      </x:c>
      <x:c r="N69" s="57" t="str">
        <x:v>EV-SETTINGS-DARK-DEFAULT-001, EV-SETTINGS-DARK-MINIMUM-001, EV-SETTINGS-LIGHT-COMPACT-TOP-001, EV-SETTINGS-LIGHT-DEFAULT-001</x:v>
      </x:c>
      <x:c r="O69" s="57" t="str"/>
      <x:c r="P69" s="57" t="str"/>
      <x:c r="Q69" s="57" t="str">
        <x:v>source 2026-09-04</x:v>
      </x:c>
      <x:c r="R69" s="57" t="str">
        <x:v>root</x:v>
      </x:c>
      <x:c r="S69" s="62" t="n">
        <x:v>46269.93247530093</x:v>
      </x:c>
      <x:c r="T69" s="57" t="str">
        <x:v>The Focus group remains readable in light appearance. Availability states, the System Settings action, and live macOS Focus remain open.</x:v>
      </x:c>
    </x:row>
    <x:row r="70">
      <x:c r="A70" s="58" t="str">
        <x:v>SET-004</x:v>
      </x:c>
      <x:c r="B70" s="58" t="str">
        <x:v>Settings</x:v>
      </x:c>
      <x:c r="C70" s="58" t="str">
        <x:v>Explicit</x:v>
      </x:c>
      <x:c r="D70" s="57" t="str">
        <x:v>As a user, I can manage local transfer and review app identity from the main settings page.</x:v>
      </x:c>
      <x:c r="E70" s="57" t="str">
        <x:v>Data and privacy rows explain local-only storage and provide working import and export actions. An about group shows the selected icon, lowercase name, version, build, platform requirement, distribution, and local-only statement.</x:v>
      </x:c>
      <x:c r="F70" s="57" t="str">
        <x:v>Use import and export from Settings, inspect all about values against the built bundle, and verify the groups at minimum width with long paths and large text.</x:v>
      </x:c>
      <x:c r="G70" s="57" t="str">
        <x:v>DEC-20; DEC-22; Sources/Dockit/SettingsView.swift; Sources/Dockit/Assets.xcassets</x:v>
      </x:c>
      <x:c r="H70" s="57" t="str">
        <x:v>Fixing</x:v>
      </x:c>
      <x:c r="I70" s="57" t="str">
        <x:v>Pass</x:v>
      </x:c>
      <x:c r="J70" s="57" t="str">
        <x:v>Fail</x:v>
      </x:c>
      <x:c r="K70" s="57" t="str">
        <x:v>Not applicable</x:v>
      </x:c>
      <x:c r="L70" s="57" t="str">
        <x:v>Blocked</x:v>
      </x:c>
      <x:c r="M70" s="57" t="str">
        <x:v>TR-SETTINGS-DARK-001, TR-TRANSFER-MODEL-GREEN-001, TR-TRANSFER-DARK-001, TR-EXPORT-NATIVE-DARK-001, TR-EXPORT-SEQUENTIAL-MODEL-GREEN-001, TR-TRANSFER-INGRESS-RED-001, TR-TRANSFER-INGRESS-GREEN-001, TR-EXPORT-NATIVE-KEYBOARD-GREEN-001, TR-NATIVE-PANEL-CUA-BLOCKED-001, TR-SETTINGS-LIGHT-ABOUT-001, TR-APP-HOSTED-FINAL-001, TR-APP-HOSTED-POST-SEPARATOR-001, TR-IMPORT-LIGHT-RETEST-001, TR-INTERACTION-SWEEP-001, TR-TRANSFER-ROUNDTRIP-001</x:v>
      </x:c>
      <x:c r="N70" s="57" t="str">
        <x:v>EV-SETTINGS-DARK-DEFAULT-001, EV-SETTINGS-ABOUT-DARK-001, EV-TRANSFER-MODEL-GREEN-001, EV-IMPORT-DARK-BEFORE-FIX-001, EV-EXPORT-NESTED-PANEL-001, EV-EXPORT-RETURN-001, EV-TRANSFER-FOLLOWUP-MODEL-001, EV-EXPORT-NATIVE-KEYBOARD-GREEN-001, EV-EXPORT-AFTER-FIX-ARCHIVE-001, EV-NATIVE-PANEL-CORRECTION-001, EV-SETTINGS-LIGHT-COMPACT-LOWER-001, EV-SETTINGS-LIGHT-DEFAULT-001, EV-APP-HOSTED-FINAL-001, EV-APP-HOSTED-POST-SEPARATOR-001, EV-IMPORT-LIGHT-RETEST-001, EV-INTERACTION-SWEEP-001, EV-TRANSFER-ROUNDTRIP-001</x:v>
      </x:c>
      <x:c r="O70" s="57" t="str">
        <x:v>DEF-046, DEF-047, DEF-048, DEF-050, DEF-051, DEF-057</x:v>
      </x:c>
      <x:c r="P70" s="57" t="str"/>
      <x:c r="Q70" s="57" t="str">
        <x:v>source 2026-09-04</x:v>
      </x:c>
      <x:c r="R70" s="57" t="str">
        <x:v>root</x:v>
      </x:c>
      <x:c r="S70" s="62" t="n">
        <x:v>46271.23523251157</x:v>
      </x:c>
      <x:c r="T70" s="57" t="str">
        <x:v>Native light import now returns to focused settings with clear completion feedback. The preview filename and deep path wrap fully. The unfinished app icon, dark transfer retest, keyboard, VoiceOver, and release checks remain open.</x:v>
      </x:c>
    </x:row>
    <x:row r="71">
      <x:c r="A71" s="58" t="str">
        <x:v>MEN-007</x:v>
      </x:c>
      <x:c r="B71" s="58" t="str">
        <x:v>Menus</x:v>
      </x:c>
      <x:c r="C71" s="58" t="str">
        <x:v>User constraint</x:v>
      </x:c>
      <x:c r="D71" s="57" t="str">
        <x:v>As a user, I can switch Docks from a useful menu bar item immediately after setup.</x:v>
      </x:c>
      <x:c r="E71" s="57" t="str">
        <x:v>The menu bar item is visible by default, uses a monochrome miniature Dock template with readable tiles, lists colored profiles with truthful active state, and provides manage docks, settings and quit in native order. Every profile entry applies its latest saved layout, including the active entry.</x:v>
      </x:c>
      <x:c r="F71" s="57" t="str">
        <x:v>Test first run, explicit opt-out, relaunch, light and dark appearance, keyboard use, switching success, switching failure, and every menu action.</x:v>
      </x:c>
      <x:c r="G71" s="57" t="str">
        <x:v>DEC-32; Sources/Dockit/DockMenuCoordinator.swift; Design/MenuBarIcon16.svg; Design/MenuBarIcon18.svg</x:v>
      </x:c>
      <x:c r="H71" s="57" t="str">
        <x:v>Ready for retest</x:v>
      </x:c>
      <x:c r="I71" s="57" t="str">
        <x:v>Blocked</x:v>
      </x:c>
      <x:c r="J71" s="57" t="str">
        <x:v>Blocked</x:v>
      </x:c>
      <x:c r="K71" s="57" t="str">
        <x:v>Not run</x:v>
      </x:c>
      <x:c r="L71" s="57" t="str">
        <x:v>Not run</x:v>
      </x:c>
      <x:c r="M71" s="57" t="str">
        <x:v>TR-CODE-REDESIGN-AUDIT-001, TR-MENU-LIVE-001, TR-MENU-MODEL-GREEN-001, TR-REFERENCE-ICON-MASK-001, TR-FLAT-FINAL-HOSTED, TR-MENUBAR-VISIBILITY-INCONCLUSIVE, TR-MENU-LIFECYCLE-RETENTION-RED, TR-MENU-LIFECYCLE-GREEN, TR-SHARED-MENU-RUNTIME, TR-FRESH-ICON-SYSTEM-MENU-BLOCK, TR-APPEARANCE-PICKER-FIXED, TR-DEVELOPMENT-REGISTRATION-001, TR-MANAGE-MENU-SYMBOL-001</x:v>
      </x:c>
      <x:c r="N71" s="57" t="str">
        <x:v>EV-REDESIGN-SOURCE-001, EV-INTERACTION-REVIEW-001, EV-MENU-MODEL-GREEN-001, EV-REFERENCE-ICON-MASK-001, EV-FLAT-FINAL-HOSTED, EV-MENUBAR-VISIBILITY-INCONCLUSIVE, EV-MENU-LIFECYCLE-RETENTION-RED, EV-MENU-LIFECYCLE-GREEN, EV-SHARED-MENU-RUNTIME, EV-FRESH-ICON-SYSTEM-MENU-BLOCK, EV-APPEARANCE-PICKER-FIXED, EV-DEVELOPMENT-REGISTRATION-001, EV-MANAGE-MENU-SYMBOL-001</x:v>
      </x:c>
      <x:c r="O71" s="57" t="str">
        <x:v>DEF-035, DEF-045, DEF-081, DEF-084, DEF-086, DEF-087, DEF-076, DEF-089</x:v>
      </x:c>
      <x:c r="P71" s="57" t="str"/>
      <x:c r="Q71" s="57" t="str">
        <x:v>flat-feedback-final, macOS 26.6, ad-hoc isolated demo 2026-09-05</x:v>
      </x:c>
      <x:c r="R71" s="57" t="str">
        <x:v>root</x:v>
      </x:c>
      <x:c r="S71" s="62" t="n">
        <x:v>46271.10680342592</x:v>
      </x:c>
      <x:c r="T71" s="57" t="str">
        <x:v>Both real app and QA defaults report showMenuBar true; actual settings also shows on. SystemUIServer and Control Center capture attempts timed out. Shared application-menu commands pass bounded tests, but actual status-item placement and commands remain unverified.</x:v>
      </x:c>
    </x:row>
    <x:row r="72">
      <x:c r="A72" s="58" t="str">
        <x:v>UX-001</x:v>
      </x:c>
      <x:c r="B72" s="58" t="str">
        <x:v>Native UX</x:v>
      </x:c>
      <x:c r="C72" s="58" t="str">
        <x:v>User constraint</x:v>
      </x:c>
      <x:c r="D72" s="57" t="str">
        <x:v>As a user, I can read all user-controlled text without overflow dots.</x:v>
      </x:c>
      <x:c r="E72" s="57" t="str">
        <x:v>Names, app labels, filenames, paths, statuses, and errors wrap, scroll, or use adaptive layout. No automatic truncation hides their content.</x:v>
      </x:c>
      <x:c r="F72" s="57" t="str">
        <x:v>Test a 32-wide-character name, long app name, deep path, long filename, long error, large text, and minimum window widths across every sheet and window.</x:v>
      </x:c>
      <x:c r="G72" s="57" t="str">
        <x:v>Sources/Dockit; DEC-17; DEC-20; DEC-21</x:v>
      </x:c>
      <x:c r="H72" s="57" t="str">
        <x:v>Ready for retest</x:v>
      </x:c>
      <x:c r="I72" s="57" t="str">
        <x:v>Pass</x:v>
      </x:c>
      <x:c r="J72" s="57" t="str">
        <x:v>Not run</x:v>
      </x:c>
      <x:c r="K72" s="57" t="str">
        <x:v>Not applicable</x:v>
      </x:c>
      <x:c r="L72" s="57" t="str">
        <x:v>Not run</x:v>
      </x:c>
      <x:c r="M72" s="57" t="str">
        <x:v>TR-EDITOR-DARK-001, TR-SETTINGS-DARK-001, TR-LONG-NAME-MINIMUM-LIGHT-001, TR-EDITOR-FINAL-CHROME-001, TR-DETAILS-SCROLL-BOUNDARY-RED-001, TR-DETAILS-INDEPENDENT-SCROLL-GREEN-001, TR-IMPORT-LIGHT-RETEST-001, TR-NATIVE-PICKER-WRAP-MEASUREMENT-RED-001, TR-NATIVE-PICKER-CELL-HOSTED-GREEN-001, TR-NATIVE-PICKER-BLANK-DISPLAY-RED-001, TR-NATIVE-PICKER-CELL-LIGHT-RED-001, TR-NATIVE-PICKER-BORDER-CELL-HOSTED-GREEN-001, TR-NATIVE-PICKER-SHARED-GLASS-PARTIAL-001, TR-NATIVE-PICKER-FINAL-LAYOUT-HOSTED-GREEN-001, TR-NATIVE-PICKER-COMMON-INSET-HOSTED-GREEN-001, TR-NATIVE-PICKER-COMMON-INSET-RUNTIME-GREEN-001, TR-FLAT-TESTS-073-085, TR-PICKER-INSET-RED, TR-FLAT-FINAL-HOSTED, TR-FLAT-APPEARANCE-BOUNDED, TR-NATIVE-DRAG-LAYOUT-20260906, TR-FINISHING-20260906</x:v>
      </x:c>
      <x:c r="N72" s="57" t="str">
        <x:v>EV-EDITOR-DARK-DEFAULT-001, EV-EDITOR-DARK-MINIMUM-001, EV-DETAILS-DARK-MINIMUM-001, EV-SETTINGS-DARK-DEFAULT-001, EV-SETTINGS-DARK-MINIMUM-001, EV-LONG-NAME-MINIMUM-LIGHT-001, EV-EDITOR-FINAL-CHROME-LIGHT-001, EV-EDITOR-FINAL-CHROME-DARK-001, EV-DETAILS-SCROLL-BOUNDARY-RED-001, EV-DETAILS-INDEPENDENT-OPEN-001, EV-DETAILS-INDEPENDENT-SCROLLED-001, EV-IMPORT-LIGHT-RETEST-001, EV-NATIVE-PICKER-WRAP-MEASUREMENT-RED-001, EV-NATIVE-PICKER-CELL-HOSTED-GREEN-001, EV-NATIVE-PICKER-BLANK-DISPLAY-RED-001, EV-NATIVE-PICKER-CELL-LIGHT-RED-001, EV-NATIVE-PICKER-BORDER-CELL-HOSTED-GREEN-001, EV-NATIVE-PICKER-SHARED-GLASS-PARTIAL-001, EV-NATIVE-PICKER-FINAL-LAYOUT-HOSTED-GREEN-001, EV-NATIVE-PICKER-COMMON-INSET-HOSTED-GREEN-001, EV-NATIVE-PICKER-COMMON-INSET-RUNTIME-GREEN-001, EV-FLAT-TESTS-073-085, EV-PICKER-INSET-RED, EV-FLAT-FINAL-HOSTED, EV-FLAT-APPEARANCE-BOUNDED, EV-NATIVE-DRAG-LAYOUT-20260906, EV-FINISHING-20260906</x:v>
      </x:c>
      <x:c r="O72" s="57" t="str">
        <x:v>DEF-047, DEF-048, DEF-065, DEF-073, DEF-074, DEF-081, DEF-083, DEF-084, DEF-085, DEF-087, DEF-076</x:v>
      </x:c>
      <x:c r="P72" s="57" t="str"/>
      <x:c r="Q72" s="57" t="str">
        <x:v>flat-feedback-final, macOS 26.6, ad-hoc isolated demo 2026-09-05</x:v>
      </x:c>
      <x:c r="R72" s="57" t="str">
        <x:v>root</x:v>
      </x:c>
      <x:c r="S72" s="62" t="n">
        <x:v>46271.30391824074</x:v>
      </x:c>
      <x:c r="T72" s="57" t="str">
        <x:v>Latest picker and32-W status checks are bounded passes. Reset overall visual pass until all current sheets, errors, larger text and paths are retested.</x:v>
      </x:c>
    </x:row>
    <x:row r="73">
      <x:c r="A73" s="58" t="str">
        <x:v>UX-002</x:v>
      </x:c>
      <x:c r="B73" s="58" t="str">
        <x:v>Native UX</x:v>
      </x:c>
      <x:c r="C73" s="58" t="str">
        <x:v>User-selected direction</x:v>
      </x:c>
      <x:c r="D73" s="57" t="str">
        <x:v>As a user, I can recognize dockit from the selected friendly native icon.</x:v>
      </x:c>
      <x:c r="E73" s="57" t="str">
        <x:v>The selected first dockling mascot keeps its face, paws and straight notched shelf, with a white base, warm off-white character and pastel lavender, blue and peach tiles. Exterior corners are truly transparent. The menu bar uses a separate monochrome miniature Dock with readable tiles.</x:v>
      </x:c>
      <x:c r="F73" s="57" t="str">
        <x:v>Generate the full deterministic size ladder from the reviewed first master. Inspect 16 through 1024 pixels in Finder and on light and dark Docks, then inspect the 16 and 18 point menu template in normal, dark, and Increased Contrast appearances.</x:v>
      </x:c>
      <x:c r="G73" s="57" t="str">
        <x:v>DEC-32; Design/AppIconMaster.png; Design/MenuBarIcon16.svg; Design/MenuBarIcon18.svg; Tools/MaskAppIcon.swift; Tools/GenerateAppIcon.swift</x:v>
      </x:c>
      <x:c r="H73" s="57" t="str">
        <x:v>Ready for retest</x:v>
      </x:c>
      <x:c r="I73" s="57" t="str">
        <x:v>Not run</x:v>
      </x:c>
      <x:c r="J73" s="57" t="str">
        <x:v>Not run</x:v>
      </x:c>
      <x:c r="K73" s="57" t="str">
        <x:v>Not applicable</x:v>
      </x:c>
      <x:c r="L73" s="57" t="str">
        <x:v>Not run</x:v>
      </x:c>
      <x:c r="M73" s="57" t="str">
        <x:v>TR-ICON-REDESIGN-01, TR-ICON-REDESIGN-02, TR-SETTINGS-DARK-001, TR-ICON-PIPELINE-001, TR-ICON-DRAFT-VALIDATION-001, TR-ICON-CANDIDATE-REJECTIONS-002, TR-SETTINGS-LIGHT-ABOUT-001, TR-ICON-BACKGROUND-EXTRACTION-REJECTED-003, TR-REFERENCE-ICON-MASK-001, TR-REFERENCE-EDITOR-FINAL-BUILD-001, TR-NATIVE-ICON-BOUNDED, TR-MENUBAR-VISIBILITY-INCONCLUSIVE, TR-FRESH-ICON-SYSTEM-MENU-BLOCK, TR-DEVELOPMENT-REGISTRATION-001</x:v>
      </x:c>
      <x:c r="N73" s="57" t="str">
        <x:v>EV-ICON-REDESIGN-01, EV-APP-ICON-01, EV-MENUBAR-ICON-01, EV-SETTINGS-ABOUT-DARK-001, EV-ICON-PIPELINE-001, EV-ICON-DRAFT-VALIDATION-001, EV-ICON-CANDIDATE-REJECTIONS-002, EV-SETTINGS-LIGHT-COMPACT-LOWER-001, EV-ICON-BACKGROUND-EXTRACTION-REJECTED-003, EV-REFERENCE-ICON-MASK-001, EV-NATIVE-ICON-BOUNDED, EV-MENUBAR-VISIBILITY-INCONCLUSIVE, EV-FRESH-ICON-SYSTEM-MENU-BLOCK, EV-DEVELOPMENT-REGISTRATION-001</x:v>
      </x:c>
      <x:c r="O73" s="57" t="str">
        <x:v>DEF-028, DEF-050, DEF-082, DEF-086, DEF-087</x:v>
      </x:c>
      <x:c r="P73" s="57" t="str"/>
      <x:c r="Q73" s="57" t="str">
        <x:v>flat-feedback-final, macOS 26.6, ad-hoc isolated demo 2026-09-05</x:v>
      </x:c>
      <x:c r="R73" s="57" t="str">
        <x:v>root</x:v>
      </x:c>
      <x:c r="S73" s="62" t="n">
        <x:v>46271.10680341435</x:v>
      </x:c>
      <x:c r="T73" s="57" t="str">
        <x:v>Approved master is unchanged. Native icon package fills Finder and refreshed about. Small exports inspected. Actual Dock, complete size ladder and menu bar remain open.</x:v>
      </x:c>
    </x:row>
    <x:row r="74">
      <x:c r="A74" s="58" t="str">
        <x:v>MOT-001</x:v>
      </x:c>
      <x:c r="B74" s="58" t="str">
        <x:v>Motion</x:v>
      </x:c>
      <x:c r="C74" s="58" t="str">
        <x:v>Benchmark metric</x:v>
      </x:c>
      <x:c r="D74" s="57" t="str">
        <x:v>As a user, any visible background blackout during Dock restart is measured from reviewed frames.</x:v>
      </x:c>
      <x:c r="E74" s="57" t="str">
        <x:v>Each switch records every interval when the expected wallpaper or background itself disappears or is replaced by a black or flat placeholder during restart. A fully visible normal wallpaper with the Dock absent is not background blackout and contributes only to first-return and settling delay.</x:v>
      </x:c>
      <x:c r="F74" s="57" t="str">
        <x:v>With double opt-in and a restorable backup, review all 20 alternating switches per strategy, retain recording hashes and raw background-blackout intervals with frame uncertainty, exclude every interval where normal wallpaper remains visible while the Dock is absent, then report median and nearest-rank p95.</x:v>
      </x:c>
      <x:c r="G74" s="57" t="str">
        <x:v>DEC-23; DEC-25; Tools/DockProbe.swift; Tools/run-dock-probe.sh; Tools/AnalyzeDockTiming.mjs; Tools/AnalyzeDockTimingTests.mjs</x:v>
      </x:c>
      <x:c r="H74" s="57" t="str">
        <x:v>Building</x:v>
      </x:c>
      <x:c r="I74" s="57" t="str">
        <x:v>Not run</x:v>
      </x:c>
      <x:c r="J74" s="57" t="str">
        <x:v>Not run</x:v>
      </x:c>
      <x:c r="K74" s="57" t="str">
        <x:v>Not run</x:v>
      </x:c>
      <x:c r="L74" s="57" t="str">
        <x:v>Not applicable</x:v>
      </x:c>
      <x:c r="M74" s="57" t="str">
        <x:v>TR-DOCK-TIMING-TOOL-001, TR-LEDGER-CHECKPOINT-VISUAL-001, TR-LEDGER-METRIC-RETEST-001</x:v>
      </x:c>
      <x:c r="N74" s="57" t="str">
        <x:v>EV-DOCK-TIMING-TOOL-001, EV-LEDGER-METRIC-BEFORE-001, EV-LEDGER-METRIC-AFTER-001</x:v>
      </x:c>
      <x:c r="O74" s="57" t="str">
        <x:v>DEF-058</x:v>
      </x:c>
      <x:c r="P74" s="57" t="str"/>
      <x:c r="Q74" s="57" t="str"/>
      <x:c r="R74" s="57" t="str">
        <x:v>dock_mechanics</x:v>
      </x:c>
      <x:c r="S74" s="62" t="n">
        <x:v>46269.90770340278</x:v>
      </x:c>
      <x:c r="T74" s="57" t="str">
        <x:v>The definition now excludes ordinary wallpaper shown while the Dock is absent. The offline evaluator is tested, but no real Dock timing or frame evidence has been collected.</x:v>
      </x:c>
    </x:row>
    <x:row r="75">
      <x:c r="A75" s="58" t="str">
        <x:v>PRF-030</x:v>
      </x:c>
      <x:c r="B75" s="58" t="str">
        <x:v>Editing</x:v>
      </x:c>
      <x:c r="C75" s="58" t="str">
        <x:v>Approved behavior</x:v>
      </x:c>
      <x:c r="D75" s="57" t="str">
        <x:v>As a user, I can edit an inactive saved Dock without disturbing what is on screen.</x:v>
      </x:c>
      <x:c r="E75" s="57" t="str">
        <x:v>Every editor action targets the selected profile, even when another profile is active. It saves the selected profile locally and performs no Dock write, reload, or active-state change.</x:v>
      </x:c>
      <x:c r="F75" s="57" t="str">
        <x:v>Keep one profile active, edit every supported field and item operation in another profile, relaunch, compare both profiles and the real Dock, then apply the edited profile separately.</x:v>
      </x:c>
      <x:c r="G75" s="57" t="str">
        <x:v>DEC-16; DEC-17; Sources/Dockit/AppModel.swift; Sources/DockitCore/DockLibrary.swift</x:v>
      </x:c>
      <x:c r="H75" s="57" t="str">
        <x:v>Ready for retest</x:v>
      </x:c>
      <x:c r="I75" s="57" t="str">
        <x:v>Pass</x:v>
      </x:c>
      <x:c r="J75" s="57" t="str">
        <x:v>Pass</x:v>
      </x:c>
      <x:c r="K75" s="57" t="str">
        <x:v>Not applicable</x:v>
      </x:c>
      <x:c r="L75" s="57" t="str">
        <x:v>Pass</x:v>
      </x:c>
      <x:c r="M75" s="57" t="str">
        <x:v>TR-CODE-REDESIGN-AUDIT-001, TR-APP-MODEL-GREEN-001, TR-EDITOR-DARK-001, TR-COPY-HELP-AUDIT-001, TR-ACTIVATION-RELINK-RED-001, TR-ACTIVATION-RELINK-GREEN-001, TR-ACTIVATION-RELINK-GREEN-002, TR-LEDGER-LIQUID-CHECKPOINT-001, TR-SMALL-SPACER-KEYBOARD-LIGHT-001, TR-APP-HOSTED-FINAL-001, TR-APP-HOSTED-POST-SEPARATOR-001</x:v>
      </x:c>
      <x:c r="N75" s="57" t="str">
        <x:v>EV-REDESIGN-SOURCE-001, EV-APP-MODEL-GREEN-001, EV-EDITOR-DARK-REORDER-001, EV-COPY-HELP-AUDIT-001, EV-ACTIVATION-RELINK-RED-001, EV-ACTIVATION-RELINK-GREEN-001, EV-ACTIVATION-RELINK-GREEN-002, EV-ACTIVATION-RELINK-SUMMARY-001, EV-LEDGER-ACTIVATION-GLASS-001, EV-SMALL-SPACER-KEYBOARD-LIGHT-001, EV-APP-HOSTED-FINAL-001, EV-APP-HOSTED-POST-SEPARATOR-001</x:v>
      </x:c>
      <x:c r="O75" s="57" t="str">
        <x:v>DEF-029, DEF-055</x:v>
      </x:c>
      <x:c r="P75" s="57" t="str"/>
      <x:c r="Q75" s="57" t="str">
        <x:v>source 2026-09-04</x:v>
      </x:c>
      <x:c r="R75" s="57" t="str">
        <x:v>root</x:v>
      </x:c>
      <x:c r="S75" s="62" t="n">
        <x:v>46269.962745219906</x:v>
      </x:c>
      <x:c r="T75" s="57" t="str">
        <x:v>Inactive editing and keyboard reorder pass. A failed unavailable-app relink now preserves the selected replacement and blocks apply until retry in two unchanged hosted suites. The visible retry affordance remains open.</x:v>
      </x:c>
    </x:row>
    <x:row r="76">
      <x:c r="A76" s="58" t="str">
        <x:v>PRF-031</x:v>
      </x:c>
      <x:c r="B76" s="58" t="str">
        <x:v>Persistence</x:v>
      </x:c>
      <x:c r="C76" s="58" t="str">
        <x:v>Safety guardrail</x:v>
      </x:c>
      <x:c r="D76" s="57" t="str">
        <x:v>As a user, my saved Dock and last verified applied Dock remain separate facts.</x:v>
      </x:c>
      <x:c r="E76" s="57" t="str">
        <x:v>A profile stores its complete saved ordered layout, including unavailable apps. The active record stores an optional last verified applied layout. Metadata edits do not create pending layout changes, while ordered app or spacer edits do.</x:v>
      </x:c>
      <x:c r="F76" s="57" t="str">
        <x:v>Change name, color, item UUIDs, order, app identity, availability, and spacer size independently. Confirm only ordered Dock identity affects pending state and that an unknown migrated baseline never claims clean state.</x:v>
      </x:c>
      <x:c r="G76" s="57" t="str">
        <x:v>DEC-16; Sources/DockitCore/DockModels.swift; Sources/DockitCore/DockLibrary.swift; Tests/DockitCoreTests/DockLibraryTests.swift</x:v>
      </x:c>
      <x:c r="H76" s="57" t="str">
        <x:v>Ready for retest</x:v>
      </x:c>
      <x:c r="I76" s="57" t="str">
        <x:v>Pass</x:v>
      </x:c>
      <x:c r="J76" s="57" t="str">
        <x:v>Not run</x:v>
      </x:c>
      <x:c r="K76" s="57" t="str">
        <x:v>Not applicable</x:v>
      </x:c>
      <x:c r="L76" s="57" t="str">
        <x:v>Not run</x:v>
      </x:c>
      <x:c r="M76" s="57" t="str">
        <x:v>TR-CORE-V2-001, TR-APP-MODEL-GREEN-001, TR-APP-HOSTED-FINAL-001, TR-APP-HOSTED-POST-SEPARATOR-001</x:v>
      </x:c>
      <x:c r="N76" s="57" t="str">
        <x:v>EV-CORE-V2-001, EV-APP-MODEL-GREEN-001, EV-APP-HOSTED-FINAL-001, EV-APP-HOSTED-POST-SEPARATOR-001</x:v>
      </x:c>
      <x:c r="O76" s="57" t="str">
        <x:v>DEF-031</x:v>
      </x:c>
      <x:c r="P76" s="57" t="str"/>
      <x:c r="Q76" s="57" t="str">
        <x:v>source 2026-09-04</x:v>
      </x:c>
      <x:c r="R76" s="57" t="str">
        <x:v>blackout_benchmark_resume</x:v>
      </x:c>
      <x:c r="S76" s="62" t="n">
        <x:v>46269.96274523148</x:v>
      </x:c>
      <x:c r="T76" s="57" t="str">
        <x:v>Core and hosted model tests pass the saved and applied separation. Visible conflict and migration presentation remain open.</x:v>
      </x:c>
    </x:row>
    <x:row r="77">
      <x:c r="A77" s="58" t="str">
        <x:v>PRF-032</x:v>
      </x:c>
      <x:c r="B77" s="58" t="str">
        <x:v>Activation</x:v>
      </x:c>
      <x:c r="C77" s="58" t="str">
        <x:v>Safety guardrail</x:v>
      </x:c>
      <x:c r="D77" s="57" t="str">
        <x:v>As a user, apply promotes exactly the saved layout only after verification.</x:v>
      </x:c>
      <x:c r="E77" s="57" t="str">
        <x:v>dockit persists the exact intended layout before mutation. A verified success or equivalent no-op promotes it to applied. A stale baseline, write error, verification error, or unverified rollback never advances the accepted Dock snapshot.</x:v>
      </x:c>
      <x:c r="F77" s="57" t="str">
        <x:v>Cover no-op, success, stale accepted baseline, stale reviewed override, failure before write, verified rollback, rollback failure, and interrupted transaction recovery. Inspect disk state before and after each stage.</x:v>
      </x:c>
      <x:c r="G77" s="57" t="str">
        <x:v>DEC-16; DEC-18; Sources/DockitCore/DockActivationService.swift; Sources/DockitCore/DockApplyCoordinator.swift; Tests/DockitCoreTests/DockActivationServiceTests.swift</x:v>
      </x:c>
      <x:c r="H77" s="57" t="str">
        <x:v>Ready for retest</x:v>
      </x:c>
      <x:c r="I77" s="57" t="str">
        <x:v>Pass</x:v>
      </x:c>
      <x:c r="J77" s="57" t="str">
        <x:v>Not run</x:v>
      </x:c>
      <x:c r="K77" s="57" t="str">
        <x:v>Not run</x:v>
      </x:c>
      <x:c r="L77" s="57" t="str">
        <x:v>Not run</x:v>
      </x:c>
      <x:c r="M77" s="57" t="str">
        <x:v>TR-CORE-V2-001, TR-APP-MODEL-GREEN-001, TR-FOCUS-MODEL-GREEN-001, TR-APP-HOSTED-FINAL-001, TR-APP-HOSTED-POST-SEPARATOR-001</x:v>
      </x:c>
      <x:c r="N77" s="57" t="str">
        <x:v>EV-CORE-V2-001, EV-APP-MODEL-GREEN-001, EV-FOCUS-MODEL-GREEN-001, EV-APP-HOSTED-FINAL-001, EV-APP-HOSTED-POST-SEPARATOR-001</x:v>
      </x:c>
      <x:c r="O77" s="57" t="str">
        <x:v>DEF-019, DEF-031, DEF-049</x:v>
      </x:c>
      <x:c r="P77" s="57" t="str"/>
      <x:c r="Q77" s="57" t="str">
        <x:v>source 2026-09-04</x:v>
      </x:c>
      <x:c r="R77" s="57" t="str">
        <x:v>blackout_benchmark_resume</x:v>
      </x:c>
      <x:c r="S77" s="62" t="n">
        <x:v>46269.96274524306</x:v>
      </x:c>
      <x:c r="T77" s="57" t="str">
        <x:v>Core and hosted tests pass exact intended-layout promotion, failure rollback, and request-scoped recovery approval. Real Dock verification and visible failure recovery remain open.</x:v>
      </x:c>
    </x:row>
    <x:row r="78">
      <x:c r="A78" s="58" t="str">
        <x:v>PRF-033</x:v>
      </x:c>
      <x:c r="B78" s="58" t="str">
        <x:v>Editing</x:v>
      </x:c>
      <x:c r="C78" s="58" t="str">
        <x:v>Approved behavior</x:v>
      </x:c>
      <x:c r="D78" s="57" t="str">
        <x:v>As a user, I can select one, adjacent, ranged, or disjoint Dock items in the editor.</x:v>
      </x:c>
      <x:c r="E78" s="57" t="str">
        <x:v>Pointer and keyboard modifiers build a stable selection over applications and spacers. Changing profiles or finishing an apply clears transient item selection instead of reviving stale item IDs.</x:v>
      </x:c>
      <x:c r="F78" s="57" t="str">
        <x:v>Create mixed layouts, exercise click, command-click, shift-click, keyboard extension, profile changes, apply completion, item deletion, and empty selection. Confirm visible and accessibility selection state each time.</x:v>
      </x:c>
      <x:c r="G78" s="57" t="str">
        <x:v>DEC-17; Sources/Dockit/AppModel.swift; Sources/Dockit/ProfileDetailView.swift; Sources/DockitCore/DockItemEditing.swift</x:v>
      </x:c>
      <x:c r="H78" s="57" t="str">
        <x:v>Fixing</x:v>
      </x:c>
      <x:c r="I78" s="57" t="str">
        <x:v>Pass</x:v>
      </x:c>
      <x:c r="J78" s="57" t="str">
        <x:v>Pass</x:v>
      </x:c>
      <x:c r="K78" s="57" t="str">
        <x:v>Not run</x:v>
      </x:c>
      <x:c r="L78" s="57" t="str">
        <x:v>Pass</x:v>
      </x:c>
      <x:c r="M78" s="57" t="str">
        <x:v>TR-CODE-REDESIGN-AUDIT-001, TR-CORE-V2-001, TR-APP-MODEL-GREEN-001, TR-EDITOR-DARK-001, TR-COPY-HELP-AUDIT-001, TR-APP-HOSTED-FINAL-001, TR-APP-HOSTED-POST-SEPARATOR-001, TR-PREVIEW-RANGE-SELECTION-LIGHT-GREEN-001, TR-PREVIEW-DISJOINT-BOUNDARY-MENU-MISMATCH-RED-001, TR-PREVIEW-BOUNDARY-ACTION-ENABLEMENT-GREEN-001, TR-BOUNDARY-DRAG-DIAGNOSTIC-CLEANUP-GREEN-001, TR-BOUNDARY-DRAG-POST-CLEANUP-APPEARANCE-BLOCKED-001</x:v>
      </x:c>
      <x:c r="N78" s="57" t="str">
        <x:v>EV-REDESIGN-SOURCE-001, EV-CORE-V2-001, EV-APP-MODEL-GREEN-001, EV-EDITOR-DARK-SELECTION-001, EV-EDITOR-DARK-REORDER-001, EV-COPY-HELP-AUDIT-001, EV-APP-HOSTED-FINAL-001, EV-APP-HOSTED-POST-SEPARATOR-001, EV-PREVIEW-RANGE-SELECTION-LIGHT-GREEN-001, EV-PREVIEW-DISJOINT-BOUNDARY-MENU-MISMATCH-RED-001, EV-PREVIEW-BOUNDARY-ACTION-ENABLEMENT-GREEN-001, EV-BOUNDARY-DRAG-DIAGNOSTIC-CLEANUP-GREEN-001, EV-BOUNDARY-DRAG-POST-CLEANUP-APPEARANCE-BLOCKED-001</x:v>
      </x:c>
      <x:c r="O78" s="57" t="str">
        <x:v>DEF-036, DEF-044, DEF-052, DEF-075</x:v>
      </x:c>
      <x:c r="P78" s="57" t="str"/>
      <x:c r="Q78" s="57" t="str">
        <x:v>source 2026-09-04</x:v>
      </x:c>
      <x:c r="R78" s="57" t="str">
        <x:v>root</x:v>
      </x:c>
      <x:c r="S78" s="62" t="n">
        <x:v>46270.05941133102</x:v>
      </x:c>
      <x:c r="T78" s="57" t="str">
        <x:v>Dark and light keyboard range and disjoint selection pass with visible and accessibility state aligned across applications and a Regular spacer. Menu and detail boundary enablement now agrees with movement. Visible help, pointer modifiers, profile and apply cleanup, deletion cleanup, VoiceOver speech, disk persistence, and remaining states stay open.</x:v>
      </x:c>
    </x:row>
    <x:row r="79">
      <x:c r="A79" s="58" t="str">
        <x:v>PRF-034</x:v>
      </x:c>
      <x:c r="B79" s="58" t="str">
        <x:v>Editing</x:v>
      </x:c>
      <x:c r="C79" s="58" t="str">
        <x:v>Approved behavior</x:v>
      </x:c>
      <x:c r="D79" s="57" t="str">
        <x:v>As a user, I can move or delete several selected Dock items as one group.</x:v>
      </x:c>
      <x:c r="E79" s="57" t="str">
        <x:v>Group operations preserve the selected items' saved relative order, keep unselected items stable, clamp boundary moves, and reject invalid or self drops without mutation.</x:v>
      </x:c>
      <x:c r="F79" s="57" t="str">
        <x:v>Move and delete adjacent and disjoint mixed selections by keyboard and drag at start, middle, end, extreme offsets, invalid targets, and self targets. Verify no duplication or loss.</x:v>
      </x:c>
      <x:c r="G79" s="57" t="str">
        <x:v>Sources/Dockit/DockDetailsView.swift; Sources/Dockit/DockPreviewView.swift</x:v>
      </x:c>
      <x:c r="H79" s="57" t="str">
        <x:v>Ready for retest</x:v>
      </x:c>
      <x:c r="I79" s="57" t="str">
        <x:v>Blocked</x:v>
      </x:c>
      <x:c r="J79" s="57" t="str">
        <x:v>Not run</x:v>
      </x:c>
      <x:c r="K79" s="57" t="str">
        <x:v>Blocked</x:v>
      </x:c>
      <x:c r="L79" s="57" t="str">
        <x:v>Not run</x:v>
      </x:c>
      <x:c r="M79" s="57" t="str">
        <x:v>TR-CORE-V2-001, TR-EDITOR-DARK-001, TR-COPY-HELP-AUDIT-001, TR-PREVIEW-ADJACENT-GROUP-DRAG-LIGHT-INCONCLUSIVE-001, TR-PREVIEW-DISJOINT-BOUNDARY-MENU-MISMATCH-RED-001, TR-PREVIEW-BOUNDARY-ACTION-ENABLEMENT-GREEN-001, TR-PREVIEW-CONTINUOUS-REFLOW-SOURCE-RED-001, TR-NATIVE-DRAG-DIAGNOSTIC-COMPILE-RED-001, TR-NATIVE-DRAG-DIAGNOSTIC-COMPILE-GREEN-001, TR-NATIVE-DRAG-CALLBACK-TRACE-001, TR-NATIVE-DRAG-MINIMAL-CONTROL-PROBE-001, TR-BOUNDARY-DRAG-DIAGNOSTIC-CLEANUP-GREEN-001, TR-BOUNDARY-DRAG-POST-CLEANUP-APPEARANCE-BLOCKED-001, TR-STALE-DROP-RED-001, TR-REFERENCE-EDITOR-HOSTED-001, TR-REFERENCE-EDITOR-STATIC-001, TR-REFERENCE-FRAMES-000091-000210-001, TR-FLAT-TESTS-073-085, TR-FLAT-FINAL-HOSTED, TR-NATIVE-DRAG-FLAT-INCONCLUSIVE, TR-REFERENCE-COVERAGE-0751, TR-FINAL-KEYBOARD-GROUP-BOUNDED, TR-FINAL-CORE-TOOLS-REGRESSION, TR-DETAILS-KEYBOARD-RED, TR-DETAILS-FOCUS-SCROLL-RED, TR-DETAILS-REORDER-SCROLL-RED, TR-DETAILS-KEYBOARD-FINAL</x:v>
      </x:c>
      <x:c r="N79" s="57" t="str">
        <x:v>EV-CORE-V2-001, EV-EDITOR-DARK-SELECTION-001, EV-EDITOR-DARK-REORDER-001, EV-COPY-HELP-AUDIT-001, EV-PREVIEW-ADJACENT-GROUP-DRAG-LIGHT-INCONCLUSIVE-001, EV-PREVIEW-DISJOINT-BOUNDARY-MENU-MISMATCH-RED-001, EV-PREVIEW-BOUNDARY-ACTION-ENABLEMENT-GREEN-001, EV-PREVIEW-CONTINUOUS-REFLOW-SOURCE-RED-001, EV-NATIVE-DRAG-DIAGNOSTIC-COMPILE-RED-001, EV-NATIVE-DRAG-DIAGNOSTIC-COMPILE-GREEN-001, EV-NATIVE-DRAG-CALLBACK-TRACE-001, EV-NATIVE-DRAG-MINIMAL-CONTROL-PROBE-001, EV-BOUNDARY-DRAG-DIAGNOSTIC-CLEANUP-GREEN-001, EV-BOUNDARY-DRAG-POST-CLEANUP-APPEARANCE-BLOCKED-001, EV-REFERENCE-EDITOR-HOSTED-001, EV-REFERENCE-EDITOR-STATIC-001, EV-REFERENCE-FRAMES-000091-000210-001, EV-FLAT-TESTS-073-085, EV-FLAT-FINAL-HOSTED, EV-NATIVE-DRAG-FLAT-INCONCLUSIVE, EV-REFERENCE-COVERAGE-0751, EV-FINAL-KEYBOARD-GROUP-BOUNDED, EV-FINAL-CORE-TOOLS-REGRESSION, EV-DETAILS-KEYBOARD-FINAL</x:v>
      </x:c>
      <x:c r="O79" s="57" t="str">
        <x:v>DEF-052, DEF-075, DEF-076, DEF-077, DEF-078, DEF-080, DEF-081, DEF-084, DEF-085, DEF-087, DEF-091</x:v>
      </x:c>
      <x:c r="P79" s="57" t="str"/>
      <x:c r="Q79" s="57" t="str">
        <x:v>flat-feedback-final, macOS 26.6, ad-hoc isolated demo 2026-09-05</x:v>
      </x:c>
      <x:c r="R79" s="57" t="str">
        <x:v>root</x:v>
      </x:c>
      <x:c r="S79" s="62" t="n">
        <x:v>46270.89567599537</x:v>
      </x:c>
      <x:c r="T79" s="57" t="str">
        <x:v>Actual preview and details keyboard range selection, focus-only navigation, toggle, grouped reorder and select-all have bounded evidence. Details focus and visibility failures are fixed and retested. Pointer dragging, cancellation and complete regressions remain open.</x:v>
      </x:c>
    </x:row>
    <x:row r="80">
      <x:c r="A80" s="58" t="str">
        <x:v>REL-006</x:v>
      </x:c>
      <x:c r="B80" s="58" t="str">
        <x:v>Reconciliation</x:v>
      </x:c>
      <x:c r="C80" s="58" t="str">
        <x:v>Safety guardrail</x:v>
      </x:c>
      <x:c r="D80" s="57" t="str">
        <x:v>As a user, an external Dock change cannot silently replace my saved pending edits.</x:v>
      </x:c>
      <x:c r="E80" s="57" t="str">
        <x:v>The monitor starts from the library's accepted snapshot. If the real Dock diverges while saved changes are pending or the applied baseline is unknown, dockit preserves both versions and opens reconciliation. Applying a reviewed saved version is allowed only while the reviewed real snapshot is still current.</x:v>
      </x:c>
      <x:c r="F80" s="57" t="str">
        <x:v>Change the Dock before monitor start, during editing, after opening reconciliation, and immediately after approving apply saved. Confirm conflicts appear, drafts remain, stale approval fails before writing, and cancellation preserves both versions.</x:v>
      </x:c>
      <x:c r="G80" s="57" t="str">
        <x:v>DEC-18; Sources/Dockit/AppModel.swift; Sources/DockitCore/DockActivationService.swift; Sources/DockitCore/DockChangeMonitor.swift; Tests/DockitCoreTests/DockActivationServiceTests.swift; Tests/DockitCoreTests/DockChangeMonitorTests.swift</x:v>
      </x:c>
      <x:c r="H80" s="57" t="str">
        <x:v>Ready for retest</x:v>
      </x:c>
      <x:c r="I80" s="57" t="str">
        <x:v>Pass</x:v>
      </x:c>
      <x:c r="J80" s="57" t="str">
        <x:v>Not run</x:v>
      </x:c>
      <x:c r="K80" s="57" t="str">
        <x:v>Not run</x:v>
      </x:c>
      <x:c r="L80" s="57" t="str">
        <x:v>Not run</x:v>
      </x:c>
      <x:c r="M80" s="57" t="str">
        <x:v>TR-CODE-REDESIGN-AUDIT-001, TR-CORE-V2-001, TR-APP-MODEL-GREEN-001, TR-FOCUS-MODEL-GREEN-001, TR-APP-HOSTED-FINAL-001, TR-APP-HOSTED-POST-SEPARATOR-001</x:v>
      </x:c>
      <x:c r="N80" s="57" t="str">
        <x:v>EV-REDESIGN-SOURCE-001, EV-CORE-V2-001, EV-APP-MODEL-GREEN-001, EV-FOCUS-MODEL-GREEN-001, EV-APP-HOSTED-FINAL-001, EV-APP-HOSTED-POST-SEPARATOR-001</x:v>
      </x:c>
      <x:c r="O80" s="57" t="str">
        <x:v>DEF-019, DEF-031, DEF-041, DEF-043</x:v>
      </x:c>
      <x:c r="P80" s="57" t="str"/>
      <x:c r="Q80" s="57" t="str">
        <x:v>source 2026-09-04</x:v>
      </x:c>
      <x:c r="R80" s="57" t="str">
        <x:v>blackout_benchmark_resume</x:v>
      </x:c>
      <x:c r="S80" s="62" t="n">
        <x:v>46269.96274533565</x:v>
      </x:c>
      <x:c r="T80" s="57" t="str">
        <x:v>Core and hosted model tests pass accepted-baseline checks, pending draft preservation, autosave retry, and request-scoped reviewed snapshots. Live external edits and the reconciliation sheet remain open.</x:v>
      </x:c>
    </x:row>
    <x:row r="81">
      <x:c r="A81" s="58" t="str">
        <x:v>REL-007</x:v>
      </x:c>
      <x:c r="B81" s="58" t="str">
        <x:v>Migration</x:v>
      </x:c>
      <x:c r="C81" s="58" t="str">
        <x:v>Safety guardrail</x:v>
      </x:c>
      <x:c r="D81" s="57" t="str">
        <x:v>As an existing development user, my v1 local profiles migrate without an invented applied state.</x:v>
      </x:c>
      <x:c r="E81" s="57" t="str">
        <x:v>Loading a v1 library preserves every profile and writes schema v2 locally. dockit infers an applied layout only when the active profile projected through currently available apps matches the last known Dock. Otherwise the baseline remains unknown for reconciliation.</x:v>
      </x:c>
      <x:c r="F81" s="57" t="str">
        <x:v>Decode matching, mismatching, unavailable-app, missing-baseline, old-pending, and unreadable v1 fixtures. Confirm profile preservation, safe baseline inference, atomic local rewrite, and no real Dock mutation.</x:v>
      </x:c>
      <x:c r="G81" s="57" t="str">
        <x:v>DEC-19; Sources/DockitCore/DockModels.swift; Sources/DockitCore/DockLibraryStore.swift; Tests/DockitCoreTests/DockLibraryTests.swift</x:v>
      </x:c>
      <x:c r="H81" s="57" t="str">
        <x:v>Ready for test</x:v>
      </x:c>
      <x:c r="I81" s="57" t="str">
        <x:v>Pass</x:v>
      </x:c>
      <x:c r="J81" s="57" t="str">
        <x:v>Not applicable</x:v>
      </x:c>
      <x:c r="K81" s="57" t="str">
        <x:v>Not applicable</x:v>
      </x:c>
      <x:c r="L81" s="57" t="str">
        <x:v>Not applicable</x:v>
      </x:c>
      <x:c r="M81" s="57" t="str">
        <x:v>TR-CORE-V2-001</x:v>
      </x:c>
      <x:c r="N81" s="57" t="str">
        <x:v>EV-CORE-V2-001</x:v>
      </x:c>
      <x:c r="O81" s="57" t="str"/>
      <x:c r="P81" s="57" t="str"/>
      <x:c r="Q81" s="57" t="str">
        <x:v>source 2026-09-04</x:v>
      </x:c>
      <x:c r="R81" s="57" t="str">
        <x:v>blackout_benchmark_resume</x:v>
      </x:c>
      <x:c r="S81" s="62" t="n">
        <x:v>46269.89460944445</x:v>
      </x:c>
      <x:c r="T81" s="57" t="str">
        <x:v>Automated v1 migration fixtures pass. This story is not marked verified until the broader redesign review closes.</x:v>
      </x:c>
    </x:row>
    <x:row r="82">
      <x:c r="A82" s="58" t="str">
        <x:v>REL-008</x:v>
      </x:c>
      <x:c r="B82" s="58" t="str">
        <x:v>Reconciliation</x:v>
      </x:c>
      <x:c r="C82" s="58" t="str">
        <x:v>Safety guardrail</x:v>
      </x:c>
      <x:c r="D82" s="57" t="str">
        <x:v>As a user, normal external Dock autosave keeps unavailable saved applications.</x:v>
      </x:c>
      <x:c r="E82" s="57" t="str">
        <x:v>Applications missing from this Mac remain in the saved active profile at stable saved positions while observed available applications and spacers retain exact real Dock order. An observed copy of the same app is not duplicated.</x:v>
      </x:c>
      <x:c r="F82" s="57" t="str">
        <x:v>Use saved unavailable apps at the start, middle, and end, edit the real Dock to empty and mixed layouts, and confirm stable retained positions, observed order, no duplication, and unchanged inactive profiles.</x:v>
      </x:c>
      <x:c r="G82" s="57" t="str">
        <x:v>DEC-18; Sources/DockitCore/DockProfileReconciliation.swift; Tests/DockitCoreTests/DockProfileReconciliationTests.swift; Sources/Dockit/AppModel.swift</x:v>
      </x:c>
      <x:c r="H82" s="57" t="str">
        <x:v>Ready for retest</x:v>
      </x:c>
      <x:c r="I82" s="57" t="str">
        <x:v>Pass</x:v>
      </x:c>
      <x:c r="J82" s="57" t="str">
        <x:v>Not run</x:v>
      </x:c>
      <x:c r="K82" s="57" t="str">
        <x:v>Not applicable</x:v>
      </x:c>
      <x:c r="L82" s="57" t="str">
        <x:v>Not run</x:v>
      </x:c>
      <x:c r="M82" s="57" t="str">
        <x:v>TR-CORE-V2-001, TR-APP-MODEL-GREEN-001, TR-APP-HOSTED-FINAL-001, TR-APP-HOSTED-POST-SEPARATOR-001</x:v>
      </x:c>
      <x:c r="N82" s="57" t="str">
        <x:v>EV-CORE-V2-001, EV-APP-MODEL-GREEN-001, EV-APP-HOSTED-FINAL-001, EV-APP-HOSTED-POST-SEPARATOR-001</x:v>
      </x:c>
      <x:c r="O82" s="57" t="str">
        <x:v>DEF-033, DEF-040</x:v>
      </x:c>
      <x:c r="P82" s="57" t="str"/>
      <x:c r="Q82" s="57" t="str">
        <x:v>source 2026-09-04</x:v>
      </x:c>
      <x:c r="R82" s="57" t="str">
        <x:v>root</x:v>
      </x:c>
      <x:c r="S82" s="62" t="n">
        <x:v>46269.96274533565</x:v>
      </x:c>
      <x:c r="T82" s="57" t="str">
        <x:v>Core and hosted model tests retain unavailable entries during running and changed-while-closed reconciliation. A live external Dock edit remains open.</x:v>
      </x:c>
    </x:row>
    <x:row r="83">
      <x:c r="A83" s="58" t="str">
        <x:v>MOT-002</x:v>
      </x:c>
      <x:c r="B83" s="58" t="str">
        <x:v>Motion</x:v>
      </x:c>
      <x:c r="C83" s="58" t="str">
        <x:v>Benchmark metric</x:v>
      </x:c>
      <x:c r="D83" s="57" t="str">
        <x:v>As a user, the delay until the first returning Dock pixel is measured separately from blackout.</x:v>
      </x:c>
      <x:c r="E83" s="57" t="str">
        <x:v>Each reviewed switch records the delay from restart request to the first returning Dock pixel. A returning pixel does not imply that wallpaper blackout has ended or that the Dock has settled.</x:v>
      </x:c>
      <x:c r="F83" s="57" t="str">
        <x:v>Review all 20 alternating switches per strategy, retain request and first-return timestamps with frame uncertainty, and report median and nearest-rank p95 independently from blackout and settling.</x:v>
      </x:c>
      <x:c r="G83" s="57" t="str">
        <x:v>DEC-23; Tools/AnalyzeDockTiming.mjs; Tools/AnalyzeDockTimingTests.mjs</x:v>
      </x:c>
      <x:c r="H83" s="57" t="str">
        <x:v>Building</x:v>
      </x:c>
      <x:c r="I83" s="57" t="str">
        <x:v>Not run</x:v>
      </x:c>
      <x:c r="J83" s="57" t="str">
        <x:v>Not run</x:v>
      </x:c>
      <x:c r="K83" s="57" t="str">
        <x:v>Not run</x:v>
      </x:c>
      <x:c r="L83" s="57" t="str">
        <x:v>Not applicable</x:v>
      </x:c>
      <x:c r="M83" s="57" t="str">
        <x:v>TR-DOCK-TIMING-TOOL-001</x:v>
      </x:c>
      <x:c r="N83" s="57" t="str">
        <x:v>EV-DOCK-TIMING-TOOL-001</x:v>
      </x:c>
      <x:c r="O83" s="57" t="str"/>
      <x:c r="P83" s="57" t="str"/>
      <x:c r="Q83" s="57" t="str"/>
      <x:c r="R83" s="57" t="str">
        <x:v>dock_mechanics</x:v>
      </x:c>
      <x:c r="S83" s="62" t="n">
        <x:v>46269.89460947917</x:v>
      </x:c>
      <x:c r="T83" s="57" t="str">
        <x:v>The offline evidence gate has automated coverage. No real Dock timing evidence was collected.</x:v>
      </x:c>
    </x:row>
    <x:row r="84">
      <x:c r="A84" s="58" t="str">
        <x:v>MOT-003</x:v>
      </x:c>
      <x:c r="B84" s="58" t="str">
        <x:v>Motion</x:v>
      </x:c>
      <x:c r="C84" s="58" t="str">
        <x:v>Benchmark metric</x:v>
      </x:c>
      <x:c r="D84" s="57" t="str">
        <x:v>As a user, the delay until the returned Dock is visually settled is measured separately.</x:v>
      </x:c>
      <x:c r="E84" s="57" t="str">
        <x:v>Each reviewed switch records the delay from restart request through the first stable settled Dock frame. Settling remains distinct from wallpaper blackout and first return.</x:v>
      </x:c>
      <x:c r="F84" s="57" t="str">
        <x:v>Review the complete event for all 20 alternating switches per strategy, retain request and settled timestamps with frame uncertainty, and report median and nearest-rank p95 independently.</x:v>
      </x:c>
      <x:c r="G84" s="57" t="str">
        <x:v>DEC-23; Tools/AnalyzeDockTiming.mjs; Tools/AnalyzeDockTimingTests.mjs</x:v>
      </x:c>
      <x:c r="H84" s="57" t="str">
        <x:v>Building</x:v>
      </x:c>
      <x:c r="I84" s="57" t="str">
        <x:v>Not run</x:v>
      </x:c>
      <x:c r="J84" s="57" t="str">
        <x:v>Not run</x:v>
      </x:c>
      <x:c r="K84" s="57" t="str">
        <x:v>Not run</x:v>
      </x:c>
      <x:c r="L84" s="57" t="str">
        <x:v>Not applicable</x:v>
      </x:c>
      <x:c r="M84" s="57" t="str">
        <x:v>TR-DOCK-TIMING-TOOL-001</x:v>
      </x:c>
      <x:c r="N84" s="57" t="str">
        <x:v>EV-DOCK-TIMING-TOOL-001</x:v>
      </x:c>
      <x:c r="O84" s="57" t="str"/>
      <x:c r="P84" s="57" t="str"/>
      <x:c r="Q84" s="57" t="str"/>
      <x:c r="R84" s="57" t="str">
        <x:v>dock_mechanics</x:v>
      </x:c>
      <x:c r="S84" s="62" t="n">
        <x:v>46269.89460950231</x:v>
      </x:c>
      <x:c r="T84" s="57" t="str">
        <x:v>The offline evidence gate has automated coverage. No real Dock timing evidence was collected.</x:v>
      </x:c>
    </x:row>
    <x:row r="85">
      <x:c r="A85" s="58" t="str">
        <x:v>MOT-004</x:v>
      </x:c>
      <x:c r="B85" s="58" t="str">
        <x:v>Motion</x:v>
      </x:c>
      <x:c r="C85" s="58" t="str">
        <x:v>Release gate</x:v>
      </x:c>
      <x:c r="D85" s="57" t="str">
        <x:v>As a user, dockit chooses a restart strategy only when it is measurably faster and equally reliable.</x:v>
      </x:c>
      <x:c r="E85" s="57" t="str">
        <x:v>A candidate must complete 20 alternating switches with zero wrong layouts, missing relaunches, or extra restart cycles, preserve every invariant, keep wallpaper-blackout median upper bound at or below 280 milliseconds, keep its p95 upper bound below 450 milliseconds, and avoid regression against baseline first-return and settling bounds. Missing or inconclusive evidence retains forced termination.</x:v>
      </x:c>
      <x:c r="F85" s="57" t="str">
        <x:v>Back up the real Dock, run all three public-API strategies with double opt-in, validate raw evidence and every invariant, select only a qualifying candidate, restore the backup, and confirm forced termination is the fallback when no candidate qualifies.</x:v>
      </x:c>
      <x:c r="G85" s="57" t="str">
        <x:v>DEC-23; DEC-25; Sources/DockitCore/DockReload.swift; Tests/DockitCoreTests/DockReloadTests.swift; Tools/DockProbe.swift; Tools/run-dock-probe.sh; Tools/AnalyzeDockTiming.mjs; Tools/AnalyzeDockTimingTests.mjs</x:v>
      </x:c>
      <x:c r="H85" s="57" t="str">
        <x:v>Building</x:v>
      </x:c>
      <x:c r="I85" s="57" t="str">
        <x:v>Not run</x:v>
      </x:c>
      <x:c r="J85" s="57" t="str">
        <x:v>Not run</x:v>
      </x:c>
      <x:c r="K85" s="57" t="str">
        <x:v>Not run</x:v>
      </x:c>
      <x:c r="L85" s="57" t="str">
        <x:v>Not applicable</x:v>
      </x:c>
      <x:c r="M85" s="57" t="str">
        <x:v>TR-CORE-V2-001, TR-DOCK-TIMING-TOOL-001</x:v>
      </x:c>
      <x:c r="N85" s="57" t="str">
        <x:v>EV-CORE-V2-001, EV-DOCK-TIMING-TOOL-001</x:v>
      </x:c>
      <x:c r="O85" s="57" t="str"/>
      <x:c r="P85" s="57" t="str"/>
      <x:c r="Q85" s="57" t="str"/>
      <x:c r="R85" s="57" t="str">
        <x:v>dock_mechanics</x:v>
      </x:c>
      <x:c r="S85" s="62" t="n">
        <x:v>46269.90770344908</x:v>
      </x:c>
      <x:c r="T85" s="57" t="str">
        <x:v>The candidate gate uses the corrected background-blackout definition. Current evidence is tooling-only, so forced termination remains selected and no candidate is green.</x:v>
      </x:c>
    </x:row>
    <x:row r="86">
      <x:c r="A86" s="58" t="str">
        <x:v>LED-001</x:v>
      </x:c>
      <x:c r="B86" s="58" t="str">
        <x:v>Delivery and QA</x:v>
      </x:c>
      <x:c r="C86" s="58" t="str">
        <x:v>Canonical tracker guardrail</x:v>
      </x:c>
      <x:c r="D86" s="57" t="str">
        <x:v>As the team, we can revise a story definition without erasing its execution history.</x:v>
      </x:c>
      <x:c r="E86" s="57" t="str">
        <x:v>The canonical ledger tool updates existing area, contract, user story, expected behavior, and acceptance checks in place while retaining delivery state, verdicts, runs, evidence, defects, and regressions unless explicitly changed.</x:v>
      </x:c>
      <x:c r="F86" s="57" t="str">
        <x:v>Seed an existing story with status and history, revise all definition fields, export and reload the workbook, and confirm the definition changed while every historical field remains intact.</x:v>
      </x:c>
      <x:c r="G86" s="57" t="str">
        <x:v>Tools/FeatureLedger.mjs; Tools/FeatureLedgerTests.mjs</x:v>
      </x:c>
      <x:c r="H86" s="57" t="str">
        <x:v>Ready for test</x:v>
      </x:c>
      <x:c r="I86" s="57" t="str">
        <x:v>Pass</x:v>
      </x:c>
      <x:c r="J86" s="57" t="str">
        <x:v>Not applicable</x:v>
      </x:c>
      <x:c r="K86" s="57" t="str">
        <x:v>Not applicable</x:v>
      </x:c>
      <x:c r="L86" s="57" t="str">
        <x:v>Not applicable</x:v>
      </x:c>
      <x:c r="M86" s="57" t="str">
        <x:v>TR-CODE-REDESIGN-AUDIT-001, TR-LEDGER-TOOL-001</x:v>
      </x:c>
      <x:c r="N86" s="57" t="str">
        <x:v>EV-REDESIGN-SOURCE-001, EV-LEDGER-TOOL-001</x:v>
      </x:c>
      <x:c r="O86" s="57" t="str">
        <x:v>DEF-032</x:v>
      </x:c>
      <x:c r="P86" s="57" t="str"/>
      <x:c r="Q86" s="57" t="str">
        <x:v>source 2026-09-04</x:v>
      </x:c>
      <x:c r="R86" s="57" t="str">
        <x:v>blackout_benchmark_resume</x:v>
      </x:c>
      <x:c r="S86" s="62" t="n">
        <x:v>46269.894609537034</x:v>
      </x:c>
      <x:c r="T86" s="57" t="str">
        <x:v>The regression is green and this batch exercises the corrected path on the canonical workbook.</x:v>
      </x:c>
    </x:row>
    <x:row r="87">
      <x:c r="A87" s="58" t="str">
        <x:v>UX-003</x:v>
      </x:c>
      <x:c r="B87" s="58" t="str">
        <x:v>Native UX</x:v>
      </x:c>
      <x:c r="C87" s="58" t="str">
        <x:v>User-selected direction</x:v>
      </x:c>
      <x:c r="D87" s="57" t="str">
        <x:v>As a user, dockit's fixed window chrome feels native to current macOS while ordinary content remains clear and predictable.</x:v>
      </x:c>
      <x:c r="E87" s="57" t="str">
        <x:v>The fixed 620 by 252 editor uses native traffic lights without a divider, native translucent window and preview materials, and restrained rounded controls. Only the preview scrolls horizontally. Details and settings scroll in their own surfaces. No fake blur stacks or whole-window profile tint.</x:v>
      </x:c>
      <x:c r="F87" s="57" t="str">
        <x:v>Inspect fixed editor, independently scrollable settings and details in light, dark, Reduced Transparency and Increased Contrast. Test long names, keyboard focus and VoiceOver without clipping or overflow truncation. Compare normalized equivalent reference states.</x:v>
      </x:c>
      <x:c r="G87" s="57" t="str">
        <x:v>Sources/Dockit/ContentView.swift; Sources/Dockit/ProfileDetailView.swift; Sources/Dockit/DockPreviewView.swift; Sources/Dockit/DockitApp.swift; DEC-30; DEC-33; DEC-36</x:v>
      </x:c>
      <x:c r="H87" s="57" t="str">
        <x:v>Ready for retest</x:v>
      </x:c>
      <x:c r="I87" s="57" t="str">
        <x:v>Pass</x:v>
      </x:c>
      <x:c r="J87" s="57" t="str">
        <x:v>Not run</x:v>
      </x:c>
      <x:c r="K87" s="57" t="str">
        <x:v>Blocked</x:v>
      </x:c>
      <x:c r="L87" s="57" t="str">
        <x:v>Not run</x:v>
      </x:c>
      <x:c r="M87" s="57" t="str">
        <x:v>TR-LIQUID-GLASS-DEFAULT-FIT-001, TR-LEDGER-LIQUID-CHECKPOINT-001, TR-REFERENCE-DETAIL-VISUAL-001, TR-LIQUID-GLASS-FIRST-RETEST-001, TR-REFERENCE-FRAME-000000-REVIEW-001, TR-PROFILE-COLOR-PALETTE-001, TR-LONG-NAME-MINIMUM-LIGHT-001, TR-EDITOR-FINAL-CHROME-001, TR-DETAILS-SCROLL-BOUNDARY-RED-001, TR-DETAILS-INDEPENDENT-SCROLL-GREEN-001, TR-REFERENCE-CONTINUOUS-SURFACE-AUDIT-001, TR-TITLEBAR-CONTINUOUS-SURFACE-GREEN-001, TR-MISSING-APPS-LIGHT-REVIEW-RED-001, TR-REFERENCE-FRAMES-000006-000029-001, TR-MISSING-APPS-EMPTY-ROWS-GREEN-001, TR-MISSING-APPS-RESIZE-RED-001, TR-MISSING-APPS-FITTED-GREEN-001, TR-PICKER-GEOMETRY-PROBE-RED-001, TR-PICKER-GEOMETRY-WRAPPER-PROBE-RED-001, TR-PICKER-NATIVE-BACKGROUND-PROBE-RED-001, TR-REFERENCE-SPACER-INSERTION-AUDIT-001, TR-PICKER-HOSTED-SWIFTUI-PROBE-RED-001, TR-REFERENCE-FRAMES-000500-000540-MERGE-001, TR-NATIVE-PICKER-ACTOR-COMPILE-RED-001, TR-NATIVE-PICKER-WRAP-MEASUREMENT-RED-001, TR-NATIVE-PICKER-CELL-HOSTED-GREEN-001, TR-NATIVE-PICKER-BLANK-DISPLAY-RED-001, TR-NATIVE-PICKER-CELL-LIGHT-RED-001, TR-REGULAR-SPACER-PAINT-GREEN-001, TR-NATIVE-PICKER-BORDER-CELL-HOSTED-GREEN-001, TR-NATIVE-PICKER-BORDER-CELL-RUNTIME-RED-001, TR-NATIVE-PICKER-SHARED-GLASS-PARTIAL-001, TR-NATIVE-PICKER-FINAL-LAYOUT-HOSTED-GREEN-001, TR-NATIVE-PICKER-COMMON-INSET-HOSTED-GREEN-001, TR-NATIVE-PICKER-COMMON-INSET-RUNTIME-GREEN-001, TR-REFERENCE-FRAMES-000030-000070-001, TR-REFERENCE-FRAMES-000071-000090-001, TR-BOUNDARY-DRAG-POST-CLEANUP-APPEARANCE-BLOCKED-001, TR-REFERENCE-EDITOR-STATIC-001, TR-REFERENCE-FRAMES-000091-000210-001, TR-REFERENCE-EDITOR-FINAL-BUILD-001, TR-FLAT-TESTS-073-085, TR-FLAT-FINAL-HOSTED, TR-FLAT-APPEARANCE-BOUNDED, TR-REFERENCE-COVERAGE-0751, TR-DARK-CONTROL-CONTRAST-RED, TR-DARK-CONTROL-CONTRAST-GREEN-STATUS-RED, TR-DARK-WINDOW-MATERIAL-PENDING, TR-STATUS-FOREGROUND-FINAL, TR-FRESH-ICON-SYSTEM-MENU-BLOCK, TR-APPEARANCE-ADAPTATION-HOST-SETUP, TR-APPEARANCE-PICKER-STALE-RED, TR-APPEARANCE-PICKER-FIXED, TR-FINISHING-20260906</x:v>
      </x:c>
      <x:c r="N87" s="57" t="str">
        <x:v>EV-LIQUID-GLASS-DEFAULT-FIT-001, EV-LEDGER-LIQUID-STORIES-001, EV-LEDGER-ACTIVATION-GLASS-001, EV-REFERENCE-DETAIL-APP-BEFORE-001, EV-REFERENCE-FRAME-000000-001, EV-LIQUID-GLASS-REVIEW-001, EV-LIQUID-GLASS-FIRST-AFTER-001, EV-LIQUID-GLASS-FOCUSED-CONTRAST-001, EV-REFERENCE-FRAME-000000-ANNOTATION-001, EV-PROFILE-COLOR-TESTS-001, EV-PROFILE-COLOR-AUDIT-001, EV-LONG-NAME-MINIMUM-LIGHT-001, EV-EDITOR-FINAL-CHROME-LIGHT-001, EV-EDITOR-FINAL-CHROME-DARK-001, EV-DETAILS-SCROLL-BOUNDARY-RED-001, EV-DETAILS-INDEPENDENT-OPEN-001, EV-DETAILS-INDEPENDENT-SCROLLED-001, EV-REFERENCE-CONTINUOUS-SURFACE-001, EV-TITLEBAR-CONTINUOUS-LIGHT-001, EV-TITLEBAR-CONTINUOUS-DARK-001, EV-TITLEBAR-CONTINUOUS-BUILD-001, EV-MISSING-APPS-LIGHT-EMPTY-ROWS-001, EV-REFERENCE-FRAMES-000006-000029-001, EV-MISSING-APPS-EMPTY-ROWS-GREEN-001, EV-MISSING-APPS-RESIZE-RED-001, EV-MISSING-APPS-FITTED-GREEN-001, EV-PICKER-GEOMETRY-PROBE-RED-001, EV-PICKER-GEOMETRY-WRAPPER-PROBE-RED-001, EV-PICKER-NATIVE-BACKGROUND-PROBE-RED-001, EV-REFERENCE-SPACER-INSERTION-AUDIT-001, EV-PICKER-HOSTED-SWIFTUI-PROBE-RED-001, EV-REFERENCE-FRAMES-000500-000540-MERGE-001, EV-NATIVE-PICKER-ACTOR-COMPILE-RED-001, EV-NATIVE-PICKER-WRAP-MEASUREMENT-RED-001, EV-NATIVE-PICKER-CELL-HOSTED-GREEN-001, EV-NATIVE-PICKER-BLANK-DISPLAY-RED-001, EV-NATIVE-PICKER-CELL-LIGHT-RED-001, EV-REGULAR-SPACER-PAINT-GREEN-001, EV-NATIVE-PICKER-BORDER-CELL-HOSTED-GREEN-001, EV-NATIVE-PICKER-BORDER-CELL-RUNTIME-RED-001, EV-NATIVE-PICKER-SHARED-GLASS-PARTIAL-001, EV-NATIVE-PICKER-FINAL-LAYOUT-HOSTED-GREEN-001, EV-NATIVE-PICKER-COMMON-INSET-HOSTED-GREEN-001, EV-NATIVE-PICKER-COMMON-INSET-RUNTIME-GREEN-001, EV-REFERENCE-FRAMES-000030-000070-001, EV-REFERENCE-FRAMES-000071-000090-001, EV-BOUNDARY-DRAG-POST-CLEANUP-APPEARANCE-BLOCKED-001, EV-REFERENCE-EDITOR-STATIC-001, EV-REFERENCE-FRAMES-000091-000210-001, EV-FLAT-TESTS-073-085, EV-FLAT-FINAL-HOSTED, EV-FLAT-APPEARANCE-BOUNDED, EV-REFERENCE-COVERAGE-0751, EV-DARK-CONTROL-CONTRAST-RED, EV-DARK-CONTROL-CONTRAST-GREEN-STATUS-RED, EV-DARK-WINDOW-MATERIAL-PENDING, EV-STATUS-FOREGROUND-FINAL, EV-FRESH-ICON-SYSTEM-MENU-BLOCK, EV-APPEARANCE-ADAPTATION-HOST-SETUP, EV-APPEARANCE-PICKER-STALE-RED, EV-APPEARANCE-PICKER-FIXED, EV-FINISHING-20260906</x:v>
      </x:c>
      <x:c r="O87" s="57" t="str">
        <x:v>DEF-059, DEF-063, DEF-064, DEF-065, DEF-066, DEF-067, DEF-068, DEF-069, DEF-071, DEF-072, DEF-073, DEF-074, DEF-079, DEF-080, DEF-081, DEF-083, DEF-084, DEF-085, DEF-087, DEF-076, DEF-088, DEF-090, DEF-094</x:v>
      </x:c>
      <x:c r="P87" s="57" t="str">
        <x:v>MEN-005, MEN-006, SET-001, UX-001</x:v>
      </x:c>
      <x:c r="Q87" s="57" t="str">
        <x:v>flat-feedback-final, macOS 26.6, ad-hoc isolated demo 2026-09-05</x:v>
      </x:c>
      <x:c r="R87" s="57" t="str">
        <x:v>root</x:v>
      </x:c>
      <x:c r="S87" s="62" t="n">
        <x:v>46271.30391825231</x:v>
      </x:c>
      <x:c r="T87" s="57" t="str">
        <x:v>Latest focused light and dark status contrast and flat controls pass bounded checks. Full appearance, fallback-host and accessibility coverage is not complete. Prior failed captures remain in the audit.</x:v>
      </x:c>
    </x:row>
    <x:row r="88">
      <x:c r="A88" s="58" t="str">
        <x:v>MOT-005</x:v>
      </x:c>
      <x:c r="B88" s="58" t="str">
        <x:v>Motion</x:v>
      </x:c>
      <x:c r="C88" s="58" t="str">
        <x:v>Reference verification</x:v>
      </x:c>
      <x:c r="D88" s="57" t="str">
        <x:v>As a user, dockit's interaction rhythm is checked against every frame of the supplied reference video without timing drift or skipped states.</x:v>
      </x:c>
      <x:c r="E88" s="57" t="str">
        <x:v>The reference analysis covers all 2,374 decoded frames in source order and uses each frame's original presentation timestamp. It does not assume a constant frame rate, resample away frames, or substitute generated timing. Comparison artifacts link reference states and transitions to dockit's implementation recording while keeping deliberate native macOS differences explicit.</x:v>
      </x:c>
      <x:c r="F88" s="57" t="str">
        <x:v>Decode the supplied reference video, assert exactly 2,374 frames, retain each frame index and original presentation timestamp, verify timestamps are monotonic, and hash the source. Compare every reference frame or its explicitly mapped implementation interval, record unmatched states and timing differences, review the complete contact evidence, and confirm no frame is missing, duplicated, silently interpolated, or compared only through a summary montage.</x:v>
      </x:c>
      <x:c r="G88" s="57" t="str">
        <x:v>DEC-27; Tools/ReferenceVideo.mjs; Tools/ReferenceVideoTests.mjs; benja_-_here_s_a_quick_video_on_how_works_made_it_for_myself_turns_out_many_cgVZUA.mp4</x:v>
      </x:c>
      <x:c r="H88" s="57" t="str">
        <x:v>Building</x:v>
      </x:c>
      <x:c r="I88" s="57" t="str">
        <x:v>Blocked</x:v>
      </x:c>
      <x:c r="J88" s="57" t="str">
        <x:v>Blocked</x:v>
      </x:c>
      <x:c r="K88" s="57" t="str">
        <x:v>Blocked</x:v>
      </x:c>
      <x:c r="L88" s="57" t="str">
        <x:v>Not applicable</x:v>
      </x:c>
      <x:c r="M88" s="57" t="str">
        <x:v>TR-LEDGER-LIQUID-CHECKPOINT-001, TR-REFERENCE-VIDEO-INDEX-001, TR-REFERENCE-DETAIL-VISUAL-001, TR-REFERENCE-FRAME-000000-REVIEW-001, TR-REFERENCE-FRAME-000480-PREFLIGHT-001, TR-REFERENCE-CONTINUOUS-SURFACE-AUDIT-001, TR-TITLEBAR-CONTINUOUS-SURFACE-GREEN-001, TR-REFERENCE-FRAMES-000001-000005-001, TR-REFERENCE-FRAMES-000006-000029-001, TR-CORE-NATIVE-RECOVERY-001, TR-PICKER-GEOMETRY-PROBE-RED-001, TR-CORE-PACKAGE-EXCLUSION-GREEN-001, TR-PICKER-GEOMETRY-WRAPPER-PROBE-RED-001, TR-PICKER-NATIVE-BACKGROUND-PROBE-RED-001, TR-REFERENCE-SPACER-INSERTION-AUDIT-001, TR-PICKER-HOSTED-SWIFTUI-PROBE-RED-001, TR-REFERENCE-FRAMES-000500-000540-MERGE-001, TR-REGULAR-SPACER-PAINT-GREEN-001, TR-REFERENCE-FRAMES-000030-000070-001, TR-PREVIEW-CONTINUOUS-REFLOW-SOURCE-RED-001, TR-NATIVE-DRAG-DIAGNOSTIC-COMPILE-RED-001, TR-NATIVE-DRAG-DIAGNOSTIC-COMPILE-GREEN-001, TR-NATIVE-DRAG-CALLBACK-TRACE-001, TR-REFERENCE-FRAMES-000071-000090-001, TR-NATIVE-DRAG-MINIMAL-CONTROL-PROBE-001, TR-BOUNDARY-DRAG-DIAGNOSTIC-CLEANUP-GREEN-001, TR-NATIVE-DRAG-FLAT-INCONCLUSIVE, TR-REFERENCE-COVERAGE-0751, TR-REFERENCE-751-870, TR-REFERENCE-871-990, TR-REFERENCE-991-1110</x:v>
      </x:c>
      <x:c r="N88" s="57" t="str">
        <x:v>EV-LEDGER-LIQUID-STORIES-001, EV-REFERENCE-VIDEO-MANIFEST-001, EV-REFERENCE-VIDEO-COVERAGE-001, EV-REFERENCE-VIDEO-EXTRACTION-001, EV-REFERENCE-FRAME-000000-001, EV-LIQUID-GLASS-REVIEW-001, EV-REFERENCE-FRAME-000000-ANNOTATION-001, EV-REFERENCE-VIDEO-COVERAGE-002, EV-REFERENCE-FRAME-000480-PREFLIGHT-001, EV-REFERENCE-CONTINUOUS-SURFACE-001, EV-TITLEBAR-CONTINUOUS-LIGHT-001, EV-TITLEBAR-CONTINUOUS-DARK-001, EV-REFERENCE-FRAMES-000001-000005-001, EV-REFERENCE-FRAMES-000006-000029-001, EV-CORE-NATIVE-RECOVERY-001, EV-PICKER-GEOMETRY-PROBE-RED-001, EV-CORE-PACKAGE-EXCLUSION-GREEN-001, EV-PICKER-GEOMETRY-WRAPPER-PROBE-RED-001, EV-PICKER-NATIVE-BACKGROUND-PROBE-RED-001, EV-REFERENCE-SPACER-INSERTION-AUDIT-001, EV-PICKER-HOSTED-SWIFTUI-PROBE-RED-001, EV-REFERENCE-FRAMES-000500-000540-MERGE-001, EV-REGULAR-SPACER-PAINT-GREEN-001, EV-REFERENCE-FRAMES-000030-000070-001, EV-PREVIEW-CONTINUOUS-REFLOW-SOURCE-RED-001, EV-NATIVE-DRAG-DIAGNOSTIC-COMPILE-RED-001, EV-NATIVE-DRAG-DIAGNOSTIC-COMPILE-GREEN-001, EV-NATIVE-DRAG-CALLBACK-TRACE-001, EV-REFERENCE-FRAMES-000071-000090-001, EV-NATIVE-DRAG-MINIMAL-CONTROL-PROBE-001, EV-BOUNDARY-DRAG-DIAGNOSTIC-CLEANUP-GREEN-001, EV-NATIVE-DRAG-FLAT-INCONCLUSIVE, EV-REFERENCE-COVERAGE-0751, EV-REFERENCE-751-870, EV-REFERENCE-871-990, EV-REFERENCE-991-1110</x:v>
      </x:c>
      <x:c r="O88" s="57" t="str">
        <x:v>DEF-068, DEF-070, DEF-071, DEF-076, DEF-077, DEF-085</x:v>
      </x:c>
      <x:c r="P88" s="57" t="str">
        <x:v>MEN-005, MOT-001, MOT-002, MOT-003, UX-003</x:v>
      </x:c>
      <x:c r="Q88" s="57" t="str">
        <x:v>flat-feedback-final, macOS 26.6, ad-hoc isolated demo 2026-09-05</x:v>
      </x:c>
      <x:c r="R88" s="57" t="str">
        <x:v>root</x:v>
      </x:c>
      <x:c r="S88" s="62" t="n">
        <x:v>46270.89567621528</x:v>
      </x:c>
      <x:c r="T88" s="57" t="str">
        <x:v>1111 of 2374 original frames individually reviewed, contiguous through 1110. 1263 remain. Latest range has no matched current recording; no complete visual or motion parity claim.</x:v>
      </x:c>
    </x:row>
    <x:row r="89">
      <x:c r="A89" s="58" t="str">
        <x:v>FIN-001</x:v>
      </x:c>
      <x:c r="B89" s="58" t="str">
        <x:v>First launch</x:v>
      </x:c>
      <x:c r="C89" s="58" t="str">
        <x:v>Approved finishing pass</x:v>
      </x:c>
      <x:c r="D89" s="57" t="str">
        <x:v>As a new user, I get a short guide after saving my first dock.</x:v>
      </x:c>
      <x:c r="E89" s="57" t="str">
        <x:v>Show only after successful first setup; completion is local and separate from profiles; existing installations do not show it automatically.</x:v>
      </x:c>
      <x:c r="F89" s="57" t="str">
        <x:v>Successful and failed setup, dismissal, completion persistence, existing library, both appearances.</x:v>
      </x:c>
      <x:c r="G89" s="57" t="str">
        <x:v>Sources/Dockit/AppModel.swift; Sources/Dockit/ContentView.swift; Sources/Dockit/SetupView.swift</x:v>
      </x:c>
      <x:c r="H89" s="57" t="str">
        <x:v>Implemented</x:v>
      </x:c>
      <x:c r="I89" s="57" t="str">
        <x:v>Pass</x:v>
      </x:c>
      <x:c r="J89" s="57" t="str">
        <x:v>Not run</x:v>
      </x:c>
      <x:c r="K89" s="57" t="str">
        <x:v>Not run</x:v>
      </x:c>
      <x:c r="L89" s="57" t="str">
        <x:v>Not run</x:v>
      </x:c>
      <x:c r="M89" s="57" t="str">
        <x:v>TR-FINISHING-20260906</x:v>
      </x:c>
      <x:c r="N89" s="57" t="str">
        <x:v>EV-FINISHING-20260906</x:v>
      </x:c>
      <x:c r="O89" s="57" t="str"/>
      <x:c r="P89" s="57" t="str"/>
      <x:c r="Q89" s="57" t="str"/>
      <x:c r="R89" s="57" t="str"/>
      <x:c r="S89" s="62" t="n">
        <x:v>46271.30391820602</x:v>
      </x:c>
      <x:c r="T89" s="57" t="str">
        <x:v>Hosted light and dark renders inspected. Live first-run presentation remains unverified.</x:v>
      </x:c>
    </x:row>
    <x:row r="90">
      <x:c r="A90" s="58" t="str">
        <x:v>FIN-002</x:v>
      </x:c>
      <x:c r="B90" s="58" t="str">
        <x:v>Help</x:v>
      </x:c>
      <x:c r="C90" s="58" t="str">
        <x:v>Approved finishing pass</x:v>
      </x:c>
      <x:c r="D90" s="57" t="str">
        <x:v>As a user, I can reopen the quick guide from help.</x:v>
      </x:c>
      <x:c r="E90" s="57" t="str">
        <x:v>Help quick guide opens the management window and the guide even after completion. Got it and Escape dismiss without modifying profiles.</x:v>
      </x:c>
      <x:c r="F90" s="57" t="str">
        <x:v>Reopen completed guide, dismiss, compare library, keyboard and VoiceOver interaction.</x:v>
      </x:c>
      <x:c r="G90" s="57" t="str">
        <x:v>Sources/Dockit/DockitCommands.swift; Sources/Dockit/SetupView.swift</x:v>
      </x:c>
      <x:c r="H90" s="57" t="str">
        <x:v>Implemented</x:v>
      </x:c>
      <x:c r="I90" s="57" t="str">
        <x:v>Not run</x:v>
      </x:c>
      <x:c r="J90" s="57" t="str">
        <x:v>Not run</x:v>
      </x:c>
      <x:c r="K90" s="57" t="str">
        <x:v>Not run</x:v>
      </x:c>
      <x:c r="L90" s="57" t="str">
        <x:v>Not run</x:v>
      </x:c>
      <x:c r="M90" s="57" t="str">
        <x:v>TR-FINISHING-20260906</x:v>
      </x:c>
      <x:c r="N90" s="57" t="str">
        <x:v>EV-FINISHING-20260906</x:v>
      </x:c>
      <x:c r="O90" s="57" t="str"/>
      <x:c r="P90" s="57" t="str"/>
      <x:c r="Q90" s="57" t="str"/>
      <x:c r="R90" s="57" t="str"/>
      <x:c r="S90" s="62" t="n">
        <x:v>46271.30391820602</x:v>
      </x:c>
      <x:c r="T90" s="57" t="str">
        <x:v>Model reopening and dismissal tested. Live Help menu and VoiceOver not verified.</x:v>
      </x:c>
    </x:row>
    <x:row r="91">
      <x:c r="A91" s="58" t="str">
        <x:v>FIN-003</x:v>
      </x:c>
      <x:c r="B91" s="58" t="str">
        <x:v>Installer</x:v>
      </x:c>
      <x:c r="C91" s="58" t="str">
        <x:v>Approved finishing pass</x:v>
      </x:c>
      <x:c r="D91" s="57" t="str">
        <x:v>As a user, I drag dockit to Applications from a dark branded disk image.</x:v>
      </x:c>
      <x:c r="E91" s="57" t="str">
        <x:v>Separate decorative mascot above actual app and Applications icons, arrow and drag me pretty please; no automatic copying or launch.</x:v>
      </x:c>
      <x:c r="F91" s="57" t="str">
        <x:v>Mount readonly at a new path, validate Finder positions and background alias, inspect live Finder, copy and launch isolated app.</x:v>
      </x:c>
      <x:c r="G91" s="57" t="str">
        <x:v>Tools/Release/package-dmg.sh; Tools/Release/dmg-layout.py; Design/Installer</x:v>
      </x:c>
      <x:c r="H91" s="57" t="str">
        <x:v>Implemented</x:v>
      </x:c>
      <x:c r="I91" s="57" t="str">
        <x:v>Not run</x:v>
      </x:c>
      <x:c r="J91" s="57" t="str">
        <x:v>Not run</x:v>
      </x:c>
      <x:c r="K91" s="57" t="str">
        <x:v>Not run</x:v>
      </x:c>
      <x:c r="L91" s="57" t="str">
        <x:v>Not run</x:v>
      </x:c>
      <x:c r="M91" s="57" t="str">
        <x:v>TR-FINISHING-20260906</x:v>
      </x:c>
      <x:c r="N91" s="57" t="str">
        <x:v>EV-FINISHING-20260906</x:v>
      </x:c>
      <x:c r="O91" s="57" t="str"/>
      <x:c r="P91" s="57" t="str"/>
      <x:c r="Q91" s="57" t="str"/>
      <x:c r="R91" s="57" t="str"/>
      <x:c r="S91" s="62" t="n">
        <x:v>46271.30391821759</x:v>
      </x:c>
      <x:c r="T91" s="57" t="str">
        <x:v>Packaging checks pass. Live Finder, copy and launch pending. Decorative mascot derivative awaits user approval.</x:v>
      </x:c>
    </x:row>
    <x:row r="92">
      <x:c r="A92" s="58" t="str">
        <x:v>FIN-004</x:v>
      </x:c>
      <x:c r="B92" s="58" t="str">
        <x:v>Distribution</x:v>
      </x:c>
      <x:c r="C92" s="58" t="str">
        <x:v>Approved finishing pass</x:v>
      </x:c>
      <x:c r="D92" s="57" t="str">
        <x:v>As a user, I receive a signed and notarized DMG with unchanged app signatures.</x:v>
      </x:c>
      <x:c r="E92" s="57" t="str">
        <x:v>Release DMG remains staged until signing, notarization, stapling and validation succeed. Reject ad-hoc release input and preserve existing output.</x:v>
      </x:c>
      <x:c r="F92" s="57" t="str">
        <x:v>Reject ad-hoc app, verify copied signature and checksum, test output refusal; run Apple validation only after release gates pass.</x:v>
      </x:c>
      <x:c r="G92" s="57" t="str">
        <x:v>Tools/Release/release.sh; Tools/Release/package-dmg.sh; Tools/Release/test-dmg.sh</x:v>
      </x:c>
      <x:c r="H92" s="57" t="str">
        <x:v>Implemented</x:v>
      </x:c>
      <x:c r="I92" s="57" t="str">
        <x:v>Not run</x:v>
      </x:c>
      <x:c r="J92" s="57" t="str">
        <x:v>Not run</x:v>
      </x:c>
      <x:c r="K92" s="57" t="str">
        <x:v>Not run</x:v>
      </x:c>
      <x:c r="L92" s="57" t="str">
        <x:v>Not run</x:v>
      </x:c>
      <x:c r="M92" s="57" t="str">
        <x:v>TR-FINISHING-20260906</x:v>
      </x:c>
      <x:c r="N92" s="57" t="str">
        <x:v>EV-FINISHING-20260906</x:v>
      </x:c>
      <x:c r="O92" s="57" t="str"/>
      <x:c r="P92" s="57" t="str"/>
      <x:c r="Q92" s="57" t="str"/>
      <x:c r="R92" s="57" t="str"/>
      <x:c r="S92" s="62" t="n">
        <x:v>46271.30391822917</x:v>
      </x:c>
      <x:c r="T92" s="57" t="str">
        <x:v>Local rejection and signature preservation tested. Actual release signing and notarization not run.</x:v>
      </x:c>
    </x:row>
    <x:row r="93">
      <x:c r="D93"/>
      <x:c r="E93"/>
      <x:c r="F93"/>
      <x:c r="T93"/>
    </x:row>
    <x:row r="94">
      <x:c r="D94"/>
      <x:c r="E94"/>
      <x:c r="F94"/>
      <x:c r="T94"/>
    </x:row>
    <x:row r="95">
      <x:c r="D95"/>
      <x:c r="E95"/>
      <x:c r="F95"/>
      <x:c r="T95"/>
    </x:row>
    <x:row r="96">
      <x:c r="D96"/>
      <x:c r="E96"/>
      <x:c r="F96"/>
      <x:c r="T96"/>
    </x:row>
    <x:row r="97">
      <x:c r="D97"/>
      <x:c r="E97"/>
      <x:c r="F97"/>
      <x:c r="T97"/>
    </x:row>
    <x:row r="98">
      <x:c r="D98"/>
      <x:c r="E98"/>
      <x:c r="F98"/>
      <x:c r="T98"/>
    </x:row>
    <x:row r="99">
      <x:c r="D99"/>
      <x:c r="E99"/>
      <x:c r="F99"/>
      <x:c r="T99"/>
    </x:row>
    <x:row r="100">
      <x:c r="D100"/>
      <x:c r="E100"/>
      <x:c r="F100"/>
      <x:c r="T100"/>
    </x:row>
    <x:row r="101">
      <x:c r="D101"/>
      <x:c r="E101"/>
      <x:c r="F101"/>
      <x:c r="T101"/>
    </x:row>
    <x:row r="102">
      <x:c r="D102"/>
      <x:c r="E102"/>
      <x:c r="F102"/>
      <x:c r="T102"/>
    </x:row>
    <x:row r="103">
      <x:c r="D103"/>
      <x:c r="E103"/>
      <x:c r="F103"/>
      <x:c r="T103"/>
    </x:row>
    <x:row r="104">
      <x:c r="D104"/>
      <x:c r="E104"/>
      <x:c r="F104"/>
      <x:c r="T104"/>
    </x:row>
    <x:row r="105">
      <x:c r="D105"/>
      <x:c r="E105"/>
      <x:c r="F105"/>
      <x:c r="T105"/>
    </x:row>
    <x:row r="106">
      <x:c r="D106"/>
      <x:c r="E106"/>
      <x:c r="F106"/>
      <x:c r="T106"/>
    </x:row>
    <x:row r="107">
      <x:c r="D107"/>
      <x:c r="E107"/>
      <x:c r="F107"/>
      <x:c r="T107"/>
    </x:row>
    <x:row r="108">
      <x:c r="D108"/>
      <x:c r="E108"/>
      <x:c r="F108"/>
      <x:c r="T108"/>
    </x:row>
    <x:row r="109">
      <x:c r="D109"/>
      <x:c r="E109"/>
      <x:c r="F109"/>
      <x:c r="T109"/>
    </x:row>
    <x:row r="110">
      <x:c r="D110"/>
      <x:c r="E110"/>
      <x:c r="F110"/>
      <x:c r="T110"/>
    </x:row>
    <x:row r="111">
      <x:c r="D111"/>
      <x:c r="E111"/>
      <x:c r="F111"/>
      <x:c r="T111"/>
    </x:row>
    <x:row r="112">
      <x:c r="D112"/>
      <x:c r="E112"/>
      <x:c r="F112"/>
      <x:c r="T112"/>
    </x:row>
    <x:row r="113">
      <x:c r="D113"/>
      <x:c r="E113"/>
      <x:c r="F113"/>
      <x:c r="T113"/>
    </x:row>
    <x:row r="114">
      <x:c r="D114"/>
      <x:c r="E114"/>
      <x:c r="F114"/>
      <x:c r="T114"/>
    </x:row>
    <x:row r="115">
      <x:c r="D115"/>
      <x:c r="E115"/>
      <x:c r="F115"/>
      <x:c r="T115"/>
    </x:row>
    <x:row r="116">
      <x:c r="D116"/>
      <x:c r="E116"/>
      <x:c r="F116"/>
      <x:c r="T116"/>
    </x:row>
    <x:row r="117">
      <x:c r="D117"/>
      <x:c r="E117"/>
      <x:c r="F117"/>
      <x:c r="T117"/>
    </x:row>
    <x:row r="118">
      <x:c r="D118"/>
      <x:c r="E118"/>
      <x:c r="F118"/>
      <x:c r="T118"/>
    </x:row>
    <x:row r="119">
      <x:c r="D119"/>
      <x:c r="E119"/>
      <x:c r="F119"/>
      <x:c r="T119"/>
    </x:row>
    <x:row r="120">
      <x:c r="D120"/>
      <x:c r="E120"/>
      <x:c r="F120"/>
      <x:c r="T120"/>
    </x:row>
    <x:row r="121">
      <x:c r="D121"/>
      <x:c r="E121"/>
      <x:c r="F121"/>
      <x:c r="T121"/>
    </x:row>
    <x:row r="122">
      <x:c r="D122"/>
      <x:c r="E122"/>
      <x:c r="F122"/>
      <x:c r="T122"/>
    </x:row>
    <x:row r="123">
      <x:c r="D123"/>
      <x:c r="E123"/>
      <x:c r="F123"/>
      <x:c r="T123"/>
    </x:row>
    <x:row r="124">
      <x:c r="D124"/>
      <x:c r="E124"/>
      <x:c r="F124"/>
      <x:c r="T124"/>
    </x:row>
    <x:row r="125">
      <x:c r="D125"/>
      <x:c r="E125"/>
      <x:c r="F125"/>
      <x:c r="T125"/>
    </x:row>
    <x:row r="126">
      <x:c r="D126"/>
      <x:c r="E126"/>
      <x:c r="F126"/>
      <x:c r="T126"/>
    </x:row>
    <x:row r="127">
      <x:c r="D127"/>
      <x:c r="E127"/>
      <x:c r="F127"/>
      <x:c r="T127"/>
    </x:row>
    <x:row r="128">
      <x:c r="D128"/>
      <x:c r="E128"/>
      <x:c r="F128"/>
      <x:c r="T128"/>
    </x:row>
    <x:row r="129">
      <x:c r="D129"/>
      <x:c r="E129"/>
      <x:c r="F129"/>
      <x:c r="T129"/>
    </x:row>
    <x:row r="130">
      <x:c r="D130"/>
      <x:c r="E130"/>
      <x:c r="F130"/>
      <x:c r="T130"/>
    </x:row>
    <x:row r="131">
      <x:c r="D131"/>
      <x:c r="E131"/>
      <x:c r="F131"/>
      <x:c r="T131"/>
    </x:row>
    <x:row r="132">
      <x:c r="D132"/>
      <x:c r="E132"/>
      <x:c r="F132"/>
      <x:c r="T132"/>
    </x:row>
    <x:row r="133">
      <x:c r="D133"/>
      <x:c r="E133"/>
      <x:c r="F133"/>
      <x:c r="T133"/>
    </x:row>
    <x:row r="134">
      <x:c r="D134"/>
      <x:c r="E134"/>
      <x:c r="F134"/>
      <x:c r="T134"/>
    </x:row>
    <x:row r="135">
      <x:c r="D135"/>
      <x:c r="E135"/>
      <x:c r="F135"/>
      <x:c r="T135"/>
    </x:row>
    <x:row r="136">
      <x:c r="D136"/>
      <x:c r="E136"/>
      <x:c r="F136"/>
      <x:c r="T136"/>
    </x:row>
    <x:row r="137">
      <x:c r="D137"/>
      <x:c r="E137"/>
      <x:c r="F137"/>
      <x:c r="T137"/>
    </x:row>
    <x:row r="138">
      <x:c r="D138"/>
      <x:c r="E138"/>
      <x:c r="F138"/>
      <x:c r="T138"/>
    </x:row>
    <x:row r="139">
      <x:c r="D139"/>
      <x:c r="E139"/>
      <x:c r="F139"/>
      <x:c r="T139"/>
    </x:row>
    <x:row r="140">
      <x:c r="D140"/>
      <x:c r="E140"/>
      <x:c r="F140"/>
      <x:c r="T140"/>
    </x:row>
    <x:row r="141">
      <x:c r="D141"/>
      <x:c r="E141"/>
      <x:c r="F141"/>
      <x:c r="T141"/>
    </x:row>
    <x:row r="142">
      <x:c r="D142"/>
      <x:c r="E142"/>
      <x:c r="F142"/>
      <x:c r="T142"/>
    </x:row>
    <x:row r="143">
      <x:c r="D143"/>
      <x:c r="E143"/>
      <x:c r="F143"/>
      <x:c r="T143"/>
    </x:row>
    <x:row r="144">
      <x:c r="D144"/>
      <x:c r="E144"/>
      <x:c r="F144"/>
      <x:c r="T144"/>
    </x:row>
    <x:row r="145">
      <x:c r="D145"/>
      <x:c r="E145"/>
      <x:c r="F145"/>
      <x:c r="T145"/>
    </x:row>
    <x:row r="146">
      <x:c r="D146"/>
      <x:c r="E146"/>
      <x:c r="F146"/>
      <x:c r="T146"/>
    </x:row>
    <x:row r="147">
      <x:c r="D147"/>
      <x:c r="E147"/>
      <x:c r="F147"/>
      <x:c r="T147"/>
    </x:row>
    <x:row r="148">
      <x:c r="D148"/>
      <x:c r="E148"/>
      <x:c r="F148"/>
      <x:c r="T148"/>
    </x:row>
    <x:row r="149">
      <x:c r="D149"/>
      <x:c r="E149"/>
      <x:c r="F149"/>
      <x:c r="T149"/>
    </x:row>
    <x:row r="150">
      <x:c r="D150"/>
      <x:c r="E150"/>
      <x:c r="F150"/>
      <x:c r="T150"/>
    </x:row>
    <x:row r="151">
      <x:c r="D151"/>
      <x:c r="E151"/>
      <x:c r="F151"/>
      <x:c r="T151"/>
    </x:row>
    <x:row r="152">
      <x:c r="D152"/>
      <x:c r="E152"/>
      <x:c r="F152"/>
      <x:c r="T152"/>
    </x:row>
    <x:row r="153">
      <x:c r="D153"/>
      <x:c r="E153"/>
      <x:c r="F153"/>
      <x:c r="T153"/>
    </x:row>
    <x:row r="154">
      <x:c r="D154"/>
      <x:c r="E154"/>
      <x:c r="F154"/>
      <x:c r="T154"/>
    </x:row>
    <x:row r="155">
      <x:c r="D155"/>
      <x:c r="E155"/>
      <x:c r="F155"/>
      <x:c r="T155"/>
    </x:row>
    <x:row r="156">
      <x:c r="D156"/>
      <x:c r="E156"/>
      <x:c r="F156"/>
      <x:c r="T156"/>
    </x:row>
    <x:row r="157">
      <x:c r="D157"/>
      <x:c r="E157"/>
      <x:c r="F157"/>
      <x:c r="T157"/>
    </x:row>
    <x:row r="158">
      <x:c r="D158"/>
      <x:c r="E158"/>
      <x:c r="F158"/>
      <x:c r="T158"/>
    </x:row>
    <x:row r="159">
      <x:c r="D159"/>
      <x:c r="E159"/>
      <x:c r="F159"/>
      <x:c r="T159"/>
    </x:row>
    <x:row r="160">
      <x:c r="D160"/>
      <x:c r="E160"/>
      <x:c r="F160"/>
      <x:c r="T160"/>
    </x:row>
    <x:row r="161">
      <x:c r="D161"/>
      <x:c r="E161"/>
      <x:c r="F161"/>
      <x:c r="T161"/>
    </x:row>
    <x:row r="162">
      <x:c r="D162"/>
      <x:c r="E162"/>
      <x:c r="F162"/>
      <x:c r="T162"/>
    </x:row>
    <x:row r="163">
      <x:c r="D163"/>
      <x:c r="E163"/>
      <x:c r="F163"/>
      <x:c r="T163"/>
    </x:row>
    <x:row r="164">
      <x:c r="D164"/>
      <x:c r="E164"/>
      <x:c r="F164"/>
      <x:c r="T164"/>
    </x:row>
    <x:row r="165">
      <x:c r="D165"/>
      <x:c r="E165"/>
      <x:c r="F165"/>
      <x:c r="T165"/>
    </x:row>
    <x:row r="166">
      <x:c r="D166"/>
      <x:c r="E166"/>
      <x:c r="F166"/>
      <x:c r="T166"/>
    </x:row>
    <x:row r="167">
      <x:c r="D167"/>
      <x:c r="E167"/>
      <x:c r="F167"/>
      <x:c r="T167"/>
    </x:row>
    <x:row r="168">
      <x:c r="D168"/>
      <x:c r="E168"/>
      <x:c r="F168"/>
      <x:c r="T168"/>
    </x:row>
    <x:row r="169">
      <x:c r="D169"/>
      <x:c r="E169"/>
      <x:c r="F169"/>
      <x:c r="T169"/>
    </x:row>
    <x:row r="170">
      <x:c r="D170"/>
      <x:c r="E170"/>
      <x:c r="F170"/>
      <x:c r="T170"/>
    </x:row>
    <x:row r="171">
      <x:c r="D171"/>
      <x:c r="E171"/>
      <x:c r="F171"/>
      <x:c r="T171"/>
    </x:row>
    <x:row r="172">
      <x:c r="D172"/>
      <x:c r="E172"/>
      <x:c r="F172"/>
      <x:c r="T172"/>
    </x:row>
    <x:row r="173">
      <x:c r="D173"/>
      <x:c r="E173"/>
      <x:c r="F173"/>
      <x:c r="T173"/>
    </x:row>
    <x:row r="174">
      <x:c r="D174"/>
      <x:c r="E174"/>
      <x:c r="F174"/>
      <x:c r="T174"/>
    </x:row>
    <x:row r="175">
      <x:c r="D175"/>
      <x:c r="E175"/>
      <x:c r="F175"/>
      <x:c r="T175"/>
    </x:row>
    <x:row r="176">
      <x:c r="D176"/>
      <x:c r="E176"/>
      <x:c r="F176"/>
      <x:c r="T176"/>
    </x:row>
    <x:row r="177">
      <x:c r="D177"/>
      <x:c r="E177"/>
      <x:c r="F177"/>
      <x:c r="T177"/>
    </x:row>
    <x:row r="178">
      <x:c r="D178"/>
      <x:c r="E178"/>
      <x:c r="F178"/>
      <x:c r="T178"/>
    </x:row>
    <x:row r="179">
      <x:c r="D179"/>
      <x:c r="E179"/>
      <x:c r="F179"/>
      <x:c r="T179"/>
    </x:row>
    <x:row r="180">
      <x:c r="D180"/>
      <x:c r="E180"/>
      <x:c r="F180"/>
      <x:c r="T180"/>
    </x:row>
    <x:row r="181">
      <x:c r="D181"/>
      <x:c r="E181"/>
      <x:c r="F181"/>
      <x:c r="T181"/>
    </x:row>
    <x:row r="182">
      <x:c r="D182"/>
      <x:c r="E182"/>
      <x:c r="F182"/>
      <x:c r="T182"/>
    </x:row>
    <x:row r="183">
      <x:c r="D183"/>
      <x:c r="E183"/>
      <x:c r="F183"/>
      <x:c r="T183"/>
    </x:row>
    <x:row r="184">
      <x:c r="D184"/>
      <x:c r="E184"/>
      <x:c r="F184"/>
      <x:c r="T184"/>
    </x:row>
    <x:row r="185">
      <x:c r="D185"/>
      <x:c r="E185"/>
      <x:c r="F185"/>
      <x:c r="T185"/>
    </x:row>
    <x:row r="186">
      <x:c r="D186"/>
      <x:c r="E186"/>
      <x:c r="F186"/>
      <x:c r="T186"/>
    </x:row>
    <x:row r="187">
      <x:c r="D187"/>
      <x:c r="E187"/>
      <x:c r="F187"/>
      <x:c r="T187"/>
    </x:row>
    <x:row r="188">
      <x:c r="D188"/>
      <x:c r="E188"/>
      <x:c r="F188"/>
      <x:c r="T188"/>
    </x:row>
    <x:row r="189">
      <x:c r="D189"/>
      <x:c r="E189"/>
      <x:c r="F189"/>
      <x:c r="T189"/>
    </x:row>
    <x:row r="190">
      <x:c r="D190"/>
      <x:c r="E190"/>
      <x:c r="F190"/>
      <x:c r="T190"/>
    </x:row>
    <x:row r="191">
      <x:c r="D191"/>
      <x:c r="E191"/>
      <x:c r="F191"/>
      <x:c r="T191"/>
    </x:row>
    <x:row r="192">
      <x:c r="D192"/>
      <x:c r="E192"/>
      <x:c r="F192"/>
      <x:c r="T192"/>
    </x:row>
    <x:row r="193">
      <x:c r="D193"/>
      <x:c r="E193"/>
      <x:c r="F193"/>
      <x:c r="T193"/>
    </x:row>
    <x:row r="194">
      <x:c r="D194"/>
      <x:c r="E194"/>
      <x:c r="F194"/>
      <x:c r="T194"/>
    </x:row>
    <x:row r="195">
      <x:c r="D195"/>
      <x:c r="E195"/>
      <x:c r="F195"/>
      <x:c r="T195"/>
    </x:row>
    <x:row r="196">
      <x:c r="D196"/>
      <x:c r="E196"/>
      <x:c r="F196"/>
      <x:c r="T196"/>
    </x:row>
    <x:row r="197">
      <x:c r="D197"/>
      <x:c r="E197"/>
      <x:c r="F197"/>
      <x:c r="T197"/>
    </x:row>
    <x:row r="198">
      <x:c r="D198"/>
      <x:c r="E198"/>
      <x:c r="F198"/>
      <x:c r="T198"/>
    </x:row>
    <x:row r="199">
      <x:c r="D199"/>
      <x:c r="E199"/>
      <x:c r="F199"/>
      <x:c r="T199"/>
    </x:row>
    <x:row r="200">
      <x:c r="D200"/>
      <x:c r="E200"/>
      <x:c r="F200"/>
      <x:c r="T200"/>
    </x:row>
    <x:row r="201">
      <x:c r="D201"/>
      <x:c r="E201"/>
      <x:c r="F201"/>
      <x:c r="T201"/>
    </x:row>
    <x:row r="202">
      <x:c r="D202"/>
      <x:c r="E202"/>
      <x:c r="F202"/>
      <x:c r="T202"/>
    </x:row>
    <x:row r="203">
      <x:c r="D203"/>
      <x:c r="E203"/>
      <x:c r="F203"/>
      <x:c r="T203"/>
    </x:row>
    <x:row r="204">
      <x:c r="D204"/>
      <x:c r="E204"/>
      <x:c r="F204"/>
      <x:c r="T204"/>
    </x:row>
    <x:row r="205">
      <x:c r="D205"/>
      <x:c r="E205"/>
      <x:c r="F205"/>
      <x:c r="T205"/>
    </x:row>
    <x:row r="206">
      <x:c r="D206"/>
      <x:c r="E206"/>
      <x:c r="F206"/>
      <x:c r="T206"/>
    </x:row>
    <x:row r="207">
      <x:c r="D207"/>
      <x:c r="E207"/>
      <x:c r="F207"/>
      <x:c r="T207"/>
    </x:row>
    <x:row r="208">
      <x:c r="D208"/>
      <x:c r="E208"/>
      <x:c r="F208"/>
      <x:c r="T208"/>
    </x:row>
    <x:row r="209">
      <x:c r="D209"/>
      <x:c r="E209"/>
      <x:c r="F209"/>
      <x:c r="T209"/>
    </x:row>
    <x:row r="210">
      <x:c r="D210"/>
      <x:c r="E210"/>
      <x:c r="F210"/>
      <x:c r="T210"/>
    </x:row>
    <x:row r="211">
      <x:c r="D211"/>
      <x:c r="E211"/>
      <x:c r="F211"/>
      <x:c r="T211"/>
    </x:row>
    <x:row r="212">
      <x:c r="D212"/>
      <x:c r="E212"/>
      <x:c r="F212"/>
      <x:c r="T212"/>
    </x:row>
    <x:row r="213">
      <x:c r="D213"/>
      <x:c r="E213"/>
      <x:c r="F213"/>
      <x:c r="T213"/>
    </x:row>
    <x:row r="214">
      <x:c r="D214"/>
      <x:c r="E214"/>
      <x:c r="F214"/>
      <x:c r="T214"/>
    </x:row>
    <x:row r="215">
      <x:c r="D215"/>
      <x:c r="E215"/>
      <x:c r="F215"/>
      <x:c r="T215"/>
    </x:row>
    <x:row r="216">
      <x:c r="D216"/>
      <x:c r="E216"/>
      <x:c r="F216"/>
      <x:c r="T216"/>
    </x:row>
    <x:row r="217">
      <x:c r="D217"/>
      <x:c r="E217"/>
      <x:c r="F217"/>
      <x:c r="T217"/>
    </x:row>
    <x:row r="218">
      <x:c r="D218"/>
      <x:c r="E218"/>
      <x:c r="F218"/>
      <x:c r="T218"/>
    </x:row>
    <x:row r="219">
      <x:c r="D219"/>
      <x:c r="E219"/>
      <x:c r="F219"/>
      <x:c r="T219"/>
    </x:row>
    <x:row r="220">
      <x:c r="D220"/>
      <x:c r="E220"/>
      <x:c r="F220"/>
      <x:c r="T220"/>
    </x:row>
    <x:row r="221">
      <x:c r="D221"/>
      <x:c r="E221"/>
      <x:c r="F221"/>
      <x:c r="T221"/>
    </x:row>
    <x:row r="222">
      <x:c r="D222"/>
      <x:c r="E222"/>
      <x:c r="F222"/>
      <x:c r="T222"/>
    </x:row>
    <x:row r="223">
      <x:c r="D223"/>
      <x:c r="E223"/>
      <x:c r="F223"/>
      <x:c r="T223"/>
    </x:row>
    <x:row r="224">
      <x:c r="D224"/>
      <x:c r="E224"/>
      <x:c r="F224"/>
      <x:c r="T224"/>
    </x:row>
    <x:row r="225">
      <x:c r="D225"/>
      <x:c r="E225"/>
      <x:c r="F225"/>
      <x:c r="T225"/>
    </x:row>
    <x:row r="226">
      <x:c r="D226"/>
      <x:c r="E226"/>
      <x:c r="F226"/>
      <x:c r="T226"/>
    </x:row>
    <x:row r="227">
      <x:c r="D227"/>
      <x:c r="E227"/>
      <x:c r="F227"/>
      <x:c r="T227"/>
    </x:row>
    <x:row r="228">
      <x:c r="D228"/>
      <x:c r="E228"/>
      <x:c r="F228"/>
      <x:c r="T228"/>
    </x:row>
    <x:row r="229">
      <x:c r="D229"/>
      <x:c r="E229"/>
      <x:c r="F229"/>
      <x:c r="T229"/>
    </x:row>
    <x:row r="230">
      <x:c r="D230"/>
      <x:c r="E230"/>
      <x:c r="F230"/>
      <x:c r="T230"/>
    </x:row>
    <x:row r="231">
      <x:c r="D231"/>
      <x:c r="E231"/>
      <x:c r="F231"/>
      <x:c r="T231"/>
    </x:row>
    <x:row r="232">
      <x:c r="D232"/>
      <x:c r="E232"/>
      <x:c r="F232"/>
      <x:c r="T232"/>
    </x:row>
    <x:row r="233">
      <x:c r="D233"/>
      <x:c r="E233"/>
      <x:c r="F233"/>
      <x:c r="T233"/>
    </x:row>
    <x:row r="234">
      <x:c r="D234"/>
      <x:c r="E234"/>
      <x:c r="F234"/>
      <x:c r="T234"/>
    </x:row>
    <x:row r="235">
      <x:c r="D235"/>
      <x:c r="E235"/>
      <x:c r="F235"/>
      <x:c r="T235"/>
    </x:row>
    <x:row r="236">
      <x:c r="D236"/>
      <x:c r="E236"/>
      <x:c r="F236"/>
      <x:c r="T236"/>
    </x:row>
    <x:row r="237">
      <x:c r="D237"/>
      <x:c r="E237"/>
      <x:c r="F237"/>
      <x:c r="T237"/>
    </x:row>
    <x:row r="238">
      <x:c r="D238"/>
      <x:c r="E238"/>
      <x:c r="F238"/>
      <x:c r="T238"/>
    </x:row>
    <x:row r="239">
      <x:c r="D239"/>
      <x:c r="E239"/>
      <x:c r="F239"/>
      <x:c r="T239"/>
    </x:row>
    <x:row r="240">
      <x:c r="D240"/>
      <x:c r="E240"/>
      <x:c r="F240"/>
      <x:c r="T240"/>
    </x:row>
    <x:row r="241">
      <x:c r="D241"/>
      <x:c r="E241"/>
      <x:c r="F241"/>
      <x:c r="T241"/>
    </x:row>
    <x:row r="242">
      <x:c r="D242"/>
      <x:c r="E242"/>
      <x:c r="F242"/>
      <x:c r="T242"/>
    </x:row>
    <x:row r="243">
      <x:c r="D243"/>
      <x:c r="E243"/>
      <x:c r="F243"/>
      <x:c r="T243"/>
    </x:row>
    <x:row r="244">
      <x:c r="D244"/>
      <x:c r="E244"/>
      <x:c r="F244"/>
      <x:c r="T244"/>
    </x:row>
    <x:row r="245">
      <x:c r="D245"/>
      <x:c r="E245"/>
      <x:c r="F245"/>
      <x:c r="T245"/>
    </x:row>
    <x:row r="246">
      <x:c r="D246"/>
      <x:c r="E246"/>
      <x:c r="F246"/>
      <x:c r="T246"/>
    </x:row>
    <x:row r="247">
      <x:c r="D247"/>
      <x:c r="E247"/>
      <x:c r="F247"/>
      <x:c r="T247"/>
    </x:row>
    <x:row r="248">
      <x:c r="D248"/>
      <x:c r="E248"/>
      <x:c r="F248"/>
      <x:c r="T248"/>
    </x:row>
    <x:row r="249">
      <x:c r="D249"/>
      <x:c r="E249"/>
      <x:c r="F249"/>
      <x:c r="T249"/>
    </x:row>
    <x:row r="250">
      <x:c r="D250"/>
      <x:c r="E250"/>
      <x:c r="F250"/>
      <x:c r="T250"/>
    </x:row>
    <x:row r="251">
      <x:c r="D251"/>
      <x:c r="E251"/>
      <x:c r="F251"/>
      <x:c r="T251"/>
    </x:row>
    <x:row r="252">
      <x:c r="D252"/>
      <x:c r="E252"/>
      <x:c r="F252"/>
      <x:c r="T252"/>
    </x:row>
    <x:row r="253">
      <x:c r="D253"/>
      <x:c r="E253"/>
      <x:c r="F253"/>
      <x:c r="T253"/>
    </x:row>
    <x:row r="254">
      <x:c r="D254"/>
      <x:c r="E254"/>
      <x:c r="F254"/>
      <x:c r="T254"/>
    </x:row>
    <x:row r="255">
      <x:c r="D255"/>
      <x:c r="E255"/>
      <x:c r="F255"/>
      <x:c r="T255"/>
    </x:row>
    <x:row r="256">
      <x:c r="D256"/>
      <x:c r="E256"/>
      <x:c r="F256"/>
      <x:c r="T256"/>
    </x:row>
    <x:row r="257">
      <x:c r="D257"/>
      <x:c r="E257"/>
      <x:c r="F257"/>
      <x:c r="T257"/>
    </x:row>
    <x:row r="258">
      <x:c r="D258"/>
      <x:c r="E258"/>
      <x:c r="F258"/>
      <x:c r="T258"/>
    </x:row>
    <x:row r="259">
      <x:c r="D259"/>
      <x:c r="E259"/>
      <x:c r="F259"/>
      <x:c r="T259"/>
    </x:row>
    <x:row r="260">
      <x:c r="D260"/>
      <x:c r="E260"/>
      <x:c r="F260"/>
      <x:c r="T260"/>
    </x:row>
    <x:row r="261">
      <x:c r="D261"/>
      <x:c r="E261"/>
      <x:c r="F261"/>
      <x:c r="T261"/>
    </x:row>
    <x:row r="262">
      <x:c r="D262"/>
      <x:c r="E262"/>
      <x:c r="F262"/>
      <x:c r="T262"/>
    </x:row>
    <x:row r="263">
      <x:c r="D263"/>
      <x:c r="E263"/>
      <x:c r="F263"/>
      <x:c r="T263"/>
    </x:row>
    <x:row r="264">
      <x:c r="D264"/>
      <x:c r="E264"/>
      <x:c r="F264"/>
      <x:c r="T264"/>
    </x:row>
    <x:row r="265">
      <x:c r="D265"/>
      <x:c r="E265"/>
      <x:c r="F265"/>
      <x:c r="T265"/>
    </x:row>
    <x:row r="266">
      <x:c r="D266"/>
      <x:c r="E266"/>
      <x:c r="F266"/>
      <x:c r="T266"/>
    </x:row>
    <x:row r="267">
      <x:c r="D267"/>
      <x:c r="E267"/>
      <x:c r="F267"/>
      <x:c r="T267"/>
    </x:row>
    <x:row r="268">
      <x:c r="D268"/>
      <x:c r="E268"/>
      <x:c r="F268"/>
      <x:c r="T268"/>
    </x:row>
    <x:row r="269">
      <x:c r="D269"/>
      <x:c r="E269"/>
      <x:c r="F269"/>
      <x:c r="T269"/>
    </x:row>
    <x:row r="270">
      <x:c r="D270"/>
      <x:c r="E270"/>
      <x:c r="F270"/>
      <x:c r="T270"/>
    </x:row>
    <x:row r="271">
      <x:c r="D271"/>
      <x:c r="E271"/>
      <x:c r="F271"/>
      <x:c r="T271"/>
    </x:row>
    <x:row r="272">
      <x:c r="D272"/>
      <x:c r="E272"/>
      <x:c r="F272"/>
      <x:c r="T272"/>
    </x:row>
    <x:row r="273">
      <x:c r="D273"/>
      <x:c r="E273"/>
      <x:c r="F273"/>
      <x:c r="T273"/>
    </x:row>
    <x:row r="274">
      <x:c r="D274"/>
      <x:c r="E274"/>
      <x:c r="F274"/>
      <x:c r="T274"/>
    </x:row>
    <x:row r="275">
      <x:c r="D275"/>
      <x:c r="E275"/>
      <x:c r="F275"/>
      <x:c r="T275"/>
    </x:row>
    <x:row r="276">
      <x:c r="D276"/>
      <x:c r="E276"/>
      <x:c r="F276"/>
      <x:c r="T276"/>
    </x:row>
    <x:row r="277">
      <x:c r="D277"/>
      <x:c r="E277"/>
      <x:c r="F277"/>
      <x:c r="T277"/>
    </x:row>
    <x:row r="278">
      <x:c r="D278"/>
      <x:c r="E278"/>
      <x:c r="F278"/>
      <x:c r="T278"/>
    </x:row>
    <x:row r="279">
      <x:c r="D279"/>
      <x:c r="E279"/>
      <x:c r="F279"/>
      <x:c r="T279"/>
    </x:row>
    <x:row r="280">
      <x:c r="D280"/>
      <x:c r="E280"/>
      <x:c r="F280"/>
      <x:c r="T280"/>
    </x:row>
    <x:row r="281">
      <x:c r="D281"/>
      <x:c r="E281"/>
      <x:c r="F281"/>
      <x:c r="T281"/>
    </x:row>
    <x:row r="282">
      <x:c r="D282"/>
      <x:c r="E282"/>
      <x:c r="F282"/>
      <x:c r="T282"/>
    </x:row>
    <x:row r="283">
      <x:c r="D283"/>
      <x:c r="E283"/>
      <x:c r="F283"/>
      <x:c r="T283"/>
    </x:row>
    <x:row r="284">
      <x:c r="D284"/>
      <x:c r="E284"/>
      <x:c r="F284"/>
      <x:c r="T284"/>
    </x:row>
    <x:row r="285">
      <x:c r="D285"/>
      <x:c r="E285"/>
      <x:c r="F285"/>
      <x:c r="T285"/>
    </x:row>
    <x:row r="286">
      <x:c r="D286"/>
      <x:c r="E286"/>
      <x:c r="F286"/>
      <x:c r="T286"/>
    </x:row>
    <x:row r="287">
      <x:c r="D287"/>
      <x:c r="E287"/>
      <x:c r="F287"/>
      <x:c r="T287"/>
    </x:row>
    <x:row r="288">
      <x:c r="D288"/>
      <x:c r="E288"/>
      <x:c r="F288"/>
      <x:c r="T288"/>
    </x:row>
    <x:row r="289">
      <x:c r="D289"/>
      <x:c r="E289"/>
      <x:c r="F289"/>
      <x:c r="T289"/>
    </x:row>
    <x:row r="290">
      <x:c r="D290"/>
      <x:c r="E290"/>
      <x:c r="F290"/>
      <x:c r="T290"/>
    </x:row>
    <x:row r="291">
      <x:c r="D291"/>
      <x:c r="E291"/>
      <x:c r="F291"/>
      <x:c r="T291"/>
    </x:row>
    <x:row r="292">
      <x:c r="D292"/>
      <x:c r="E292"/>
      <x:c r="F292"/>
      <x:c r="T292"/>
    </x:row>
    <x:row r="293">
      <x:c r="D293"/>
      <x:c r="E293"/>
      <x:c r="F293"/>
      <x:c r="T293"/>
    </x:row>
    <x:row r="294">
      <x:c r="D294"/>
      <x:c r="E294"/>
      <x:c r="F294"/>
      <x:c r="T294"/>
    </x:row>
    <x:row r="295">
      <x:c r="D295"/>
      <x:c r="E295"/>
      <x:c r="F295"/>
      <x:c r="T295"/>
    </x:row>
    <x:row r="296">
      <x:c r="D296"/>
      <x:c r="E296"/>
      <x:c r="F296"/>
      <x:c r="T296"/>
    </x:row>
    <x:row r="297">
      <x:c r="D297"/>
      <x:c r="E297"/>
      <x:c r="F297"/>
      <x:c r="T297"/>
    </x:row>
    <x:row r="298">
      <x:c r="D298"/>
      <x:c r="E298"/>
      <x:c r="F298"/>
      <x:c r="T298"/>
    </x:row>
    <x:row r="299">
      <x:c r="D299"/>
      <x:c r="E299"/>
      <x:c r="F299"/>
      <x:c r="T299"/>
    </x:row>
    <x:row r="300">
      <x:c r="D300"/>
      <x:c r="E300"/>
      <x:c r="F300"/>
      <x:c r="T300"/>
    </x:row>
  </x:sheetData>
  <x:mergeCells>
    <x:mergeCell ref="A1:T1"/>
    <x:mergeCell ref="A3:T3"/>
    <x:mergeCell ref="M2:T2"/>
  </x:mergeCells>
  <x:conditionalFormatting sqref="H7:L300">
    <x:cfRule type="containsText" dxfId="0" priority="1" operator="containsText" text="Verified"/>
    <x:cfRule type="containsText" dxfId="1" priority="2" operator="containsText" text="Pass"/>
    <x:cfRule type="containsText" dxfId="2" priority="3" operator="containsText" text="Fail"/>
    <x:cfRule type="containsText" dxfId="3" priority="4" operator="containsText" text="Blocked"/>
  </x:conditionalFormatting>
  <x:dataValidations count="2">
    <x:dataValidation type="list" sqref="H7:H300">
      <x:formula1>"Proposed,Ready to build,Building,Ready for test,Testing,Failed,Fixing,Ready for retest,Verified,Blocked,Deferred"</x:formula1>
    </x:dataValidation>
    <x:dataValidation type="list" sqref="I7:L300">
      <x:formula1>"Not run,Pass,Fail,Blocked,Not applicable"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6" hidden="0" customWidth="1"/>
    <x:col min="4" max="4" width="22" hidden="0" customWidth="1"/>
    <x:col min="5" max="5" width="32" hidden="0" customWidth="1"/>
    <x:col min="6" max="6" width="42" hidden="0" customWidth="1"/>
    <x:col min="7" max="7" width="34" hidden="0" customWidth="1"/>
    <x:col min="8" max="8" width="34" hidden="0" customWidth="1"/>
    <x:col min="9" max="9" width="12" hidden="0" customWidth="1"/>
    <x:col min="10" max="10" width="12" hidden="0" customWidth="1"/>
    <x:col min="11" max="11" width="12" hidden="0" customWidth="1"/>
    <x:col min="12" max="12" width="14" hidden="0" customWidth="1"/>
    <x:col min="13" max="13" width="22" hidden="0" customWidth="1"/>
    <x:col min="14" max="14" width="22" hidden="0" customWidth="1"/>
    <x:col min="15" max="15" width="22" hidden="0" customWidth="1"/>
    <x:col min="16" max="16" width="16" hidden="0" customWidth="1"/>
    <x:col min="17" max="17" width="16" hidden="0" customWidth="1"/>
    <x:col min="18" max="18" width="14" hidden="0" customWidth="1"/>
    <x:col min="19" max="19" width="30" hidden="0" customWidth="1"/>
  </x:cols>
  <x:sheetData>
    <x:row r="1" ht="28" customHeight="1">
      <x:c r="A1" s="4" t="str">
        <x:v>Test runs</x:v>
      </x:c>
      <x:c r="B1" s="4"/>
      <x:c r="C1" s="4"/>
      <x:c r="D1" s="4"/>
      <x:c r="E1" s="4"/>
      <x:c r="F1" s="4"/>
      <x:c r="G1" s="4"/>
      <x:c r="H1" s="4"/>
      <x:c r="I1" s="4"/>
      <x:c r="J1" s="4"/>
      <x:c r="K1" s="4"/>
      <x:c r="L1" s="4"/>
      <x:c r="M1" s="4"/>
      <x:c r="N1" s="4"/>
      <x:c r="O1" s="4"/>
      <x:c r="P1" s="4"/>
      <x:c r="Q1" s="4"/>
      <x:c r="R1" s="4"/>
      <x:c r="S1" s="4"/>
    </x:row>
    <x:row r="2">
      <x:c r="A2" s="10" t="str">
        <x:v>Executed runs</x:v>
      </x:c>
      <x:c r="B2" s="11" t="n">
        <x:f>COUNTA(A6:A300)</x:f>
        <x:v>230</x:v>
      </x:c>
      <x:c r="C2" s="11"/>
      <x:c r="D2" s="11" t="str">
        <x:v>Functional passes</x:v>
      </x:c>
      <x:c r="E2" s="11" t="n">
        <x:f>COUNTIF(I6:I300,"Pass")</x:f>
        <x:v>125</x:v>
      </x:c>
      <x:c r="F2" s="11"/>
      <x:c r="G2" s="11" t="str">
        <x:v>Failed runs</x:v>
      </x:c>
      <x:c r="H2" s="12" t="n">
        <x:f>COUNTIF(I6:I300,"Fail")</x:f>
        <x:v>55</x:v>
      </x:c>
    </x:row>
    <x:row r="3" ht="28" customHeight="1">
      <x:c r="A3" s="7" t="str">
        <x:v>Append one row for every executed test attempt. Do not overwrite a failed run with its later retest.</x:v>
      </x:c>
      <x:c r="B3" s="7"/>
      <x:c r="C3" s="7"/>
      <x:c r="D3" s="7"/>
      <x:c r="E3" s="7"/>
      <x:c r="F3" s="7"/>
      <x:c r="G3" s="7"/>
      <x:c r="H3" s="7"/>
      <x:c r="I3" s="7"/>
      <x:c r="J3" s="7"/>
      <x:c r="K3" s="7"/>
      <x:c r="L3" s="7"/>
      <x:c r="M3" s="7"/>
      <x:c r="N3" s="7"/>
      <x:c r="O3" s="7"/>
      <x:c r="P3" s="7"/>
      <x:c r="Q3" s="7"/>
      <x:c r="R3" s="7"/>
      <x:c r="S3" s="7"/>
    </x:row>
    <x:row r="5" ht="34" customHeight="1">
      <x:c r="A5" s="31" t="str">
        <x:v>Run ID</x:v>
      </x:c>
      <x:c r="B5" s="32" t="str">
        <x:v>Story IDs</x:v>
      </x:c>
      <x:c r="C5" s="32" t="str">
        <x:v>Build / commit</x:v>
      </x:c>
      <x:c r="D5" s="32" t="str">
        <x:v>macOS / device</x:v>
      </x:c>
      <x:c r="E5" s="32" t="str">
        <x:v>Preconditions</x:v>
      </x:c>
      <x:c r="F5" s="32" t="str">
        <x:v>Steps</x:v>
      </x:c>
      <x:c r="G5" s="32" t="str">
        <x:v>Expected result</x:v>
      </x:c>
      <x:c r="H5" s="32" t="str">
        <x:v>Actual result</x:v>
      </x:c>
      <x:c r="I5" s="32" t="str">
        <x:v>Functional</x:v>
      </x:c>
      <x:c r="J5" s="32" t="str">
        <x:v>Visual</x:v>
      </x:c>
      <x:c r="K5" s="32" t="str">
        <x:v>Motion</x:v>
      </x:c>
      <x:c r="L5" s="32" t="str">
        <x:v>Accessibility</x:v>
      </x:c>
      <x:c r="M5" s="32" t="str">
        <x:v>Before screenshot</x:v>
      </x:c>
      <x:c r="N5" s="32" t="str">
        <x:v>After screenshot</x:v>
      </x:c>
      <x:c r="O5" s="32" t="str">
        <x:v>Recording</x:v>
      </x:c>
      <x:c r="P5" s="32" t="str">
        <x:v>Defect IDs</x:v>
      </x:c>
      <x:c r="Q5" s="32" t="str">
        <x:v>Tester</x:v>
      </x:c>
      <x:c r="R5" s="32" t="str">
        <x:v>Run date</x:v>
      </x:c>
      <x:c r="S5" s="33" t="str">
        <x:v>Notes</x:v>
      </x:c>
    </x:row>
    <x:row r="6">
      <x:c r="A6" s="41" t="str">
        <x:v>TR-P0-002</x:v>
      </x:c>
      <x:c r="B6" s="41" t="str">
        <x:v>PRF-011</x:v>
      </x:c>
      <x:c r="C6" s="41" t="str"/>
      <x:c r="D6" s="41" t="str">
        <x:v>macOS 26.4.1, Apple M5</x:v>
      </x:c>
      <x:c r="E6" s="41" t="str">
        <x:v>Original Dock backed up; three pinned apps; regular apps and windows open</x:v>
      </x:c>
      <x:c r="F6" s="41" t="str">
        <x:v>Apply Notes, spacer, and TextEdit; inspect order; restore exact preimage; repeat while recording</x:v>
      </x:c>
      <x:c r="G6" s="41" t="str">
        <x:v>Pinned app order matches the fixture and original order returns after restore</x:v>
      </x:c>
      <x:c r="H6" s="41" t="str">
        <x:v>Both live runs applied the requested order and restored the original order</x:v>
      </x:c>
      <x:c r="I6" s="41" t="str">
        <x:v>Pass</x:v>
      </x:c>
      <x:c r="J6" s="41" t="str">
        <x:v>Pass</x:v>
      </x:c>
      <x:c r="K6" s="41" t="str">
        <x:v>Not applicable</x:v>
      </x:c>
      <x:c r="L6" s="41" t="str">
        <x:v>Not applicable</x:v>
      </x:c>
      <x:c r="M6" s="41" t="str">
        <x:v>artifacts/dock-probe/pre-probe.png</x:v>
      </x:c>
      <x:c r="N6" s="41" t="str">
        <x:v>artifacts/dock-probe/applied.png</x:v>
      </x:c>
      <x:c r="O6" s="41" t="str">
        <x:v>artifacts/dock-probe/recorded-switch.mov</x:v>
      </x:c>
      <x:c r="P6" s="41" t="str"/>
      <x:c r="Q6" s="41" t="str">
        <x:v>root</x:v>
      </x:c>
      <x:c r="R6" s="53" t="n">
        <x:v>46268.94762341435</x:v>
      </x:c>
      <x:c r="S6" s="41"/>
    </x:row>
    <x:row r="7">
      <x:c r="A7" s="42" t="str">
        <x:v>TR-P0-002-SPACER</x:v>
      </x:c>
      <x:c r="B7" s="42" t="str">
        <x:v>PRF-012</x:v>
      </x:c>
      <x:c r="C7" s="42" t="str"/>
      <x:c r="D7" s="42" t="str">
        <x:v>macOS 26.4.1, Apple M5</x:v>
      </x:c>
      <x:c r="E7" s="42" t="str">
        <x:v>Real Dock fixture ready</x:v>
      </x:c>
      <x:c r="F7" s="42" t="str">
        <x:v>Apply a regular spacer between Notes and TextEdit; record the system transition; restore</x:v>
      </x:c>
      <x:c r="G7" s="42" t="str">
        <x:v>The system Dock shows one native spacer at the requested position and restores it afterward</x:v>
      </x:c>
      <x:c r="H7" s="42" t="str">
        <x:v>The spacer appeared between the two pinned apps and the original layout returned</x:v>
      </x:c>
      <x:c r="I7" s="42" t="str">
        <x:v>Pass</x:v>
      </x:c>
      <x:c r="J7" s="42" t="str">
        <x:v>Pass</x:v>
      </x:c>
      <x:c r="K7" s="42" t="str">
        <x:v>Pass</x:v>
      </x:c>
      <x:c r="L7" s="42" t="str">
        <x:v>Not applicable</x:v>
      </x:c>
      <x:c r="M7" s="42" t="str"/>
      <x:c r="N7" s="42" t="str"/>
      <x:c r="O7" s="42" t="str">
        <x:v>artifacts/dock-probe/recorded-switch.mov</x:v>
      </x:c>
      <x:c r="P7" s="42" t="str"/>
      <x:c r="Q7" s="42" t="str">
        <x:v>root</x:v>
      </x:c>
      <x:c r="R7" s="52" t="n">
        <x:v>46268.947658136574</x:v>
      </x:c>
      <x:c r="S7" s="42"/>
    </x:row>
    <x:row r="8">
      <x:c r="A8" s="42" t="str">
        <x:v>TR-P0-002-SETTINGS</x:v>
      </x:c>
      <x:c r="B8" s="42" t="str">
        <x:v>PRF-015</x:v>
      </x:c>
      <x:c r="C8" s="42" t="str"/>
      <x:c r="D8" s="42" t="str">
        <x:v>macOS 26.4.1, Apple M5</x:v>
      </x:c>
      <x:c r="E8" s="42" t="str">
        <x:v>Dock has non-default size, indicators, visibility, and hot-corner values</x:v>
      </x:c>
      <x:c r="F8" s="42" t="str">
        <x:v>Snapshot every Dock domain value except pinned apps and documented runtime counters; apply; restore; compare</x:v>
      </x:c>
      <x:c r="G8" s="42" t="str">
        <x:v>All non-profile settings remain equal during apply and after restore</x:v>
      </x:c>
      <x:c r="H8" s="42" t="str">
        <x:v>All compared settings matched. Only Dock-owned analytics timestamp and modification counter advanced.</x:v>
      </x:c>
      <x:c r="I8" s="42" t="str">
        <x:v>Pass</x:v>
      </x:c>
      <x:c r="J8" s="42" t="str">
        <x:v>Not applicable</x:v>
      </x:c>
      <x:c r="K8" s="42" t="str">
        <x:v>Not applicable</x:v>
      </x:c>
      <x:c r="L8" s="42" t="str">
        <x:v>Not applicable</x:v>
      </x:c>
      <x:c r="M8" s="42" t="str"/>
      <x:c r="N8" s="42" t="str"/>
      <x:c r="O8" s="42" t="str"/>
      <x:c r="P8" s="42" t="str"/>
      <x:c r="Q8" s="42" t="str">
        <x:v>root</x:v>
      </x:c>
      <x:c r="R8" s="52" t="n">
        <x:v>46268.947693483795</x:v>
      </x:c>
      <x:c r="S8" s="42" t="str">
        <x:v>report.json and recorded-switch-report.json both pass.</x:v>
      </x:c>
    </x:row>
    <x:row r="9">
      <x:c r="A9" s="42" t="str">
        <x:v>TR-P0-002-LIFECYCLE</x:v>
      </x:c>
      <x:c r="B9" s="42" t="str">
        <x:v>PRF-016</x:v>
      </x:c>
      <x:c r="C9" s="42" t="str"/>
      <x:c r="D9" s="42" t="str">
        <x:v>macOS 26.4.1, Apple M5</x:v>
      </x:c>
      <x:c r="E9" s="42" t="str">
        <x:v>Several regular apps and their windows are open</x:v>
      </x:c>
      <x:c r="F9" s="42" t="str">
        <x:v>Capture regular app process IDs and visible window identities; apply and restore; compare at both points</x:v>
      </x:c>
      <x:c r="G9" s="42" t="str">
        <x:v>No user app opens or quits and no user app window changes</x:v>
      </x:c>
      <x:c r="H9" s="42" t="str">
        <x:v>Process and window sets matched before, during, and after both live runs</x:v>
      </x:c>
      <x:c r="I9" s="42" t="str">
        <x:v>Pass</x:v>
      </x:c>
      <x:c r="J9" s="42" t="str">
        <x:v>Pass</x:v>
      </x:c>
      <x:c r="K9" s="42" t="str">
        <x:v>Not applicable</x:v>
      </x:c>
      <x:c r="L9" s="42" t="str">
        <x:v>Not applicable</x:v>
      </x:c>
      <x:c r="M9" s="42" t="str"/>
      <x:c r="N9" s="42" t="str"/>
      <x:c r="O9" s="42" t="str"/>
      <x:c r="P9" s="42" t="str"/>
      <x:c r="Q9" s="42" t="str">
        <x:v>root</x:v>
      </x:c>
      <x:c r="R9" s="52" t="n">
        <x:v>46268.947727858795</x:v>
      </x:c>
      <x:c r="S9" s="42"/>
    </x:row>
    <x:row r="10">
      <x:c r="A10" s="42" t="str">
        <x:v>TR-CORE-STORE-001</x:v>
      </x:c>
      <x:c r="B10" s="42" t="str">
        <x:v>PRV-001</x:v>
      </x:c>
      <x:c r="C10" s="42" t="str">
        <x:v>Swift 6.3.3</x:v>
      </x:c>
      <x:c r="D10" s="42" t="str">
        <x:v>macOS 26.4.1</x:v>
      </x:c>
      <x:c r="E10" s="42" t="str">
        <x:v>Round-trip a library containing subsecond Date values</x:v>
      </x:c>
      <x:c r="F10" s="42" t="str">
        <x:v>Save the library, load it, and compare the value model</x:v>
      </x:c>
      <x:c r="G10" s="42" t="str">
        <x:v>The saved and loaded library are equal</x:v>
      </x:c>
      <x:c r="H10" s="42" t="str">
        <x:v>ISO 8601 encoding dropped fractional seconds and equality failed</x:v>
      </x:c>
      <x:c r="I10" s="42" t="str">
        <x:v>Fail</x:v>
      </x:c>
      <x:c r="J10" s="42" t="str">
        <x:v>Not run</x:v>
      </x:c>
      <x:c r="K10" s="42" t="str">
        <x:v>Not run</x:v>
      </x:c>
      <x:c r="L10" s="42" t="str">
        <x:v>Not run</x:v>
      </x:c>
      <x:c r="M10" s="42" t="str"/>
      <x:c r="N10" s="42" t="str"/>
      <x:c r="O10" s="42" t="str"/>
      <x:c r="P10" s="42" t="str">
        <x:v>DEF-002</x:v>
      </x:c>
      <x:c r="Q10" s="42" t="str">
        <x:v>Codex</x:v>
      </x:c>
      <x:c r="R10" s="52" t="n">
        <x:v>46268.95807216435</x:v>
      </x:c>
      <x:c r="S10" s="42" t="str">
        <x:v>Automated Swift Testing failure before the fix</x:v>
      </x:c>
    </x:row>
    <x:row r="11">
      <x:c r="A11" s="42" t="str">
        <x:v>TR-CORE-STORE-002</x:v>
      </x:c>
      <x:c r="B11" s="42" t="str">
        <x:v>PRV-001</x:v>
      </x:c>
      <x:c r="C11" s="42" t="str">
        <x:v>Swift 6.3.3</x:v>
      </x:c>
      <x:c r="D11" s="42" t="str">
        <x:v>macOS 26.4.1</x:v>
      </x:c>
      <x:c r="E11" s="42" t="str">
        <x:v>Fixed numeric Date encoding</x:v>
      </x:c>
      <x:c r="F11" s="42" t="str">
        <x:v>Run the local library round-trip and file-permission test</x:v>
      </x:c>
      <x:c r="G11" s="42" t="str">
        <x:v>The loaded library equals the source and the file mode is 600</x:v>
      </x:c>
      <x:c r="H11" s="42" t="str">
        <x:v>The library matched and permissions were 600</x:v>
      </x:c>
      <x:c r="I11" s="42" t="str">
        <x:v>Pass</x:v>
      </x:c>
      <x:c r="J11" s="42" t="str">
        <x:v>Not run</x:v>
      </x:c>
      <x:c r="K11" s="42" t="str">
        <x:v>Not run</x:v>
      </x:c>
      <x:c r="L11" s="42" t="str">
        <x:v>Not run</x:v>
      </x:c>
      <x:c r="M11" s="42" t="str"/>
      <x:c r="N11" s="42" t="str"/>
      <x:c r="O11" s="42" t="str"/>
      <x:c r="P11" s="42" t="str"/>
      <x:c r="Q11" s="42" t="str">
        <x:v>Codex</x:v>
      </x:c>
      <x:c r="R11" s="52" t="n">
        <x:v>46268.95811348379</x:v>
      </x:c>
      <x:c r="S11" s="42" t="str">
        <x:v>Automated retest passed</x:v>
      </x:c>
    </x:row>
    <x:row r="12">
      <x:c r="A12" s="42" t="str">
        <x:v>TR-UI-001</x:v>
      </x:c>
      <x:c r="B12" s="42" t="str">
        <x:v>MEN-005</x:v>
      </x:c>
      <x:c r="C12" s="42" t="str">
        <x:v>Debug 2026-09-03</x:v>
      </x:c>
      <x:c r="D12" s="42" t="str">
        <x:v>macOS 26.4.1, dark appearance</x:v>
      </x:c>
      <x:c r="E12" s="42" t="str">
        <x:v>Demo profiles with Work active and Reading selected</x:v>
      </x:c>
      <x:c r="F12" s="42" t="str">
        <x:v>Open the management window and inspect the selected profile color control</x:v>
      </x:c>
      <x:c r="G12" s="42" t="str">
        <x:v>The control names the selected green color without showing a conflicting color</x:v>
      </x:c>
      <x:c r="H12" s="42" t="str">
        <x:v>The menu displayed a white swatch next to Green and repeated Reading in the title bar</x:v>
      </x:c>
      <x:c r="I12" s="42" t="str">
        <x:v>Pass</x:v>
      </x:c>
      <x:c r="J12" s="42" t="str">
        <x:v>Fail</x:v>
      </x:c>
      <x:c r="K12" s="42" t="str">
        <x:v>Not run</x:v>
      </x:c>
      <x:c r="L12" s="42" t="str">
        <x:v>Pass</x:v>
      </x:c>
      <x:c r="M12" s="42" t="str">
        <x:v>artifacts/ui/selected-vs-active-dark.png</x:v>
      </x:c>
      <x:c r="N12" s="42" t="str"/>
      <x:c r="O12" s="42" t="str"/>
      <x:c r="P12" s="42" t="str">
        <x:v>DEF-003</x:v>
      </x:c>
      <x:c r="Q12" s="42" t="str">
        <x:v>Codex</x:v>
      </x:c>
      <x:c r="R12" s="52" t="n">
        <x:v>46268.95814890046</x:v>
      </x:c>
      <x:c r="S12" s="42" t="str">
        <x:v>better-colors and apple-design review</x:v>
      </x:c>
    </x:row>
    <x:row r="13">
      <x:c r="A13" s="42" t="str">
        <x:v>TR-UI-002</x:v>
      </x:c>
      <x:c r="B13" s="42" t="str">
        <x:v>MEN-005</x:v>
      </x:c>
      <x:c r="C13" s="42" t="str">
        <x:v>Debug 2026-09-03</x:v>
      </x:c>
      <x:c r="D13" s="42" t="str">
        <x:v>macOS 26.4.1, dark appearance</x:v>
      </x:c>
      <x:c r="E13" s="42" t="str">
        <x:v>Fixed native color Picker and title hierarchy</x:v>
      </x:c>
      <x:c r="F13" s="42" t="str">
        <x:v>Open the management window, select Reading while Work remains active, and inspect hierarchy and color meaning</x:v>
      </x:c>
      <x:c r="G13" s="42" t="str">
        <x:v>The window looks native, selected and active states differ clearly, and the green profile identity is consistent</x:v>
      </x:c>
      <x:c r="H13" s="42" t="str">
        <x:v>dockit uses native split view, list, toolbar, pop-up button, semantic colors, and a truthful active label</x:v>
      </x:c>
      <x:c r="I13" s="42" t="str">
        <x:v>Pass</x:v>
      </x:c>
      <x:c r="J13" s="42" t="str">
        <x:v>Pass</x:v>
      </x:c>
      <x:c r="K13" s="42" t="str">
        <x:v>Not run</x:v>
      </x:c>
      <x:c r="L13" s="42" t="str">
        <x:v>Pass</x:v>
      </x:c>
      <x:c r="M13" s="42" t="str">
        <x:v>artifacts/ui/selected-vs-active-dark.png</x:v>
      </x:c>
      <x:c r="N13" s="42" t="str">
        <x:v>artifacts/ui/selected-vs-active-dark-after.png</x:v>
      </x:c>
      <x:c r="O13" s="42" t="str"/>
      <x:c r="P13" s="42"/>
      <x:c r="Q13" s="42" t="str">
        <x:v>Codex</x:v>
      </x:c>
      <x:c r="R13" s="52" t="n">
        <x:v>46268.95818512732</x:v>
      </x:c>
      <x:c r="S13" s="42" t="str">
        <x:v>Screenshot retest passed. Full light, contrast, keyboard, and motion sweeps remain.</x:v>
      </x:c>
    </x:row>
    <x:row r="14">
      <x:c r="A14" s="42" t="str">
        <x:v>TR-SETUP-001</x:v>
      </x:c>
      <x:c r="B14" s="42" t="str">
        <x:v>FOC-007</x:v>
      </x:c>
      <x:c r="C14" s="42" t="str">
        <x:v>Signed Debug 2026-09-03</x:v>
      </x:c>
      <x:c r="D14" s="42" t="str">
        <x:v>macOS 26.4.1</x:v>
      </x:c>
      <x:c r="E14" s="42" t="str">
        <x:v>No dockit login item is registered and first setup checkbox is cleared</x:v>
      </x:c>
      <x:c r="F14" s="42" t="str">
        <x:v>Choose Save Current Dock</x:v>
      </x:c>
      <x:c r="G14" s="42" t="str">
        <x:v>dockit captures the current Dock without changing login-item state or showing an error</x:v>
      </x:c>
      <x:c r="H14" s="42" t="str">
        <x:v>dockit tried to unregister an already-disabled login item and showed an Operation not permitted alert, then saved the profile</x:v>
      </x:c>
      <x:c r="I14" s="42" t="str">
        <x:v>Fail</x:v>
      </x:c>
      <x:c r="J14" s="42" t="str">
        <x:v>Fail</x:v>
      </x:c>
      <x:c r="K14" s="42" t="str">
        <x:v>Not run</x:v>
      </x:c>
      <x:c r="L14" s="42" t="str">
        <x:v>Pass</x:v>
      </x:c>
      <x:c r="M14" s="42" t="str"/>
      <x:c r="N14" s="42" t="str"/>
      <x:c r="O14" s="42" t="str"/>
      <x:c r="P14" s="42" t="str">
        <x:v>DEF-004</x:v>
      </x:c>
      <x:c r="Q14" s="42" t="str">
        <x:v>Codex</x:v>
      </x:c>
      <x:c r="R14" s="52" t="n">
        <x:v>46268.96209940972</x:v>
      </x:c>
      <x:c r="S14" s="42" t="str">
        <x:v>Real first-launch run</x:v>
      </x:c>
    </x:row>
    <x:row r="15">
      <x:c r="A15" s="42" t="str">
        <x:v>TR-SETUP-002</x:v>
      </x:c>
      <x:c r="B15" s="42" t="str">
        <x:v>FOC-007</x:v>
      </x:c>
      <x:c r="C15" s="42" t="str">
        <x:v>Signed Debug 2026-09-03</x:v>
      </x:c>
      <x:c r="D15" s="42" t="str">
        <x:v>macOS 26.4.1</x:v>
      </x:c>
      <x:c r="E15" s="42" t="str">
        <x:v>No dockit login item is registered and first setup checkbox is cleared</x:v>
      </x:c>
      <x:c r="F15" s="42" t="str">
        <x:v>Choose Save Current Dock and inspect the resulting profile window</x:v>
      </x:c>
      <x:c r="G15" s="42" t="str">
        <x:v>The current Dock is captured with no login item mutation and no alert</x:v>
      </x:c>
      <x:c r="H15" s="42" t="str">
        <x:v>The current Dock was captured, Current Dock became active, and no alert appeared</x:v>
      </x:c>
      <x:c r="I15" s="42" t="str">
        <x:v>Pass</x:v>
      </x:c>
      <x:c r="J15" s="42" t="str">
        <x:v>Pass</x:v>
      </x:c>
      <x:c r="K15" s="42" t="str">
        <x:v>Not run</x:v>
      </x:c>
      <x:c r="L15" s="42" t="str">
        <x:v>Pass</x:v>
      </x:c>
      <x:c r="M15" s="42" t="str"/>
      <x:c r="N15" s="42" t="str">
        <x:v>artifacts/ui/first-profile-real-dark.png</x:v>
      </x:c>
      <x:c r="O15" s="42" t="str"/>
      <x:c r="P15" s="42" t="str"/>
      <x:c r="Q15" s="42" t="str">
        <x:v>Codex</x:v>
      </x:c>
      <x:c r="R15" s="52" t="n">
        <x:v>46268.96213723379</x:v>
      </x:c>
      <x:c r="S15" s="42" t="str">
        <x:v>The final sign-out and sign-in behavior remains a later release gate.</x:v>
      </x:c>
    </x:row>
    <x:row r="16">
      <x:c r="A16" s="42" t="str">
        <x:v>TR-FOCUS-HOST-001</x:v>
      </x:c>
      <x:c r="B16" s="42" t="str">
        <x:v>FOC-001</x:v>
      </x:c>
      <x:c r="C16" s="42" t="str">
        <x:v>Signed Debug 2026-09-03</x:v>
      </x:c>
      <x:c r="D16" s="42" t="str">
        <x:v>macOS 26.4.1, Apple silicon Mac</x:v>
      </x:c>
      <x:c r="E16" s="42" t="str">
        <x:v>Focus extension embedded without App Sandbox</x:v>
      </x:c>
      <x:c r="F16" s="42" t="str">
        <x:v>Open the dockit Focus filter in System Settings.</x:v>
      </x:c>
      <x:c r="G16" s="42" t="str">
        <x:v>The filter loads and reads the local profile catalog.</x:v>
      </x:c>
      <x:c r="H16" s="42" t="str">
        <x:v>The extension host rejected the extension before configuration appeared.</x:v>
      </x:c>
      <x:c r="I16" s="42" t="str">
        <x:v>Fail</x:v>
      </x:c>
      <x:c r="J16" s="42" t="str">
        <x:v>Not run</x:v>
      </x:c>
      <x:c r="K16" s="42" t="str">
        <x:v>Not applicable</x:v>
      </x:c>
      <x:c r="L16" s="42" t="str">
        <x:v>Not run</x:v>
      </x:c>
      <x:c r="M16" s="42" t="str"/>
      <x:c r="N16" s="42" t="str"/>
      <x:c r="O16" s="42" t="str"/>
      <x:c r="P16" s="42" t="str">
        <x:v>DEF-005</x:v>
      </x:c>
      <x:c r="Q16" s="42" t="str">
        <x:v>Codex</x:v>
      </x:c>
      <x:c r="R16" s="52" t="n">
        <x:v>46269.09583155093</x:v>
      </x:c>
      <x:c r="S16" s="42" t="str">
        <x:v>The App Intents extension host rejected the unsandboxed extension.</x:v>
      </x:c>
    </x:row>
    <x:row r="17">
      <x:c r="A17" s="42" t="str">
        <x:v>TR-FOCUS-HOST-002</x:v>
      </x:c>
      <x:c r="B17" s="42" t="str">
        <x:v>FOC-001</x:v>
      </x:c>
      <x:c r="C17" s="42" t="str">
        <x:v>Signed Debug 2026-09-03</x:v>
      </x:c>
      <x:c r="D17" s="42" t="str">
        <x:v>macOS 26.4.1, Apple silicon Mac</x:v>
      </x:c>
      <x:c r="E17" s="42" t="str">
        <x:v>Sandboxed extension signed with the dockit App Group entitlement; catalog contains two profiles</x:v>
      </x:c>
      <x:c r="F17" s="42" t="str">
        <x:v>Open the dockit Focus filter and inspect its configuration in System Settings.</x:v>
      </x:c>
      <x:c r="G17" s="42" t="str">
        <x:v>The filter loads and offers the current Dock profiles.</x:v>
      </x:c>
      <x:c r="H17" s="42" t="str">
        <x:v>The filter loaded and showed Current Dock and the available profile catalog.</x:v>
      </x:c>
      <x:c r="I17" s="42" t="str">
        <x:v>Pass</x:v>
      </x:c>
      <x:c r="J17" s="42" t="str">
        <x:v>Pass</x:v>
      </x:c>
      <x:c r="K17" s="42" t="str">
        <x:v>Not applicable</x:v>
      </x:c>
      <x:c r="L17" s="42" t="str">
        <x:v>Not run</x:v>
      </x:c>
      <x:c r="M17" s="42" t="str"/>
      <x:c r="N17" s="42" t="str">
        <x:v>artifacts/ui/focus-probe-sandbox-pass.png</x:v>
      </x:c>
      <x:c r="O17" s="42" t="str"/>
      <x:c r="P17" s="42" t="str"/>
      <x:c r="Q17" s="42" t="str">
        <x:v>Codex</x:v>
      </x:c>
      <x:c r="R17" s="52" t="n">
        <x:v>46269.09583157407</x:v>
      </x:c>
      <x:c r="S17" s="42" t="str">
        <x:v>Profile selection persistence and real Focus activation are still pending.</x:v>
      </x:c>
    </x:row>
    <x:row r="18">
      <x:c r="A18" s="42" t="str">
        <x:v>TR-CODE-AUDIT-001</x:v>
      </x:c>
      <x:c r="B18" s="42" t="str">
        <x:v>PRF-025</x:v>
      </x:c>
      <x:c r="C18" s="42" t="str">
        <x:v>Debug 2026-09-03</x:v>
      </x:c>
      <x:c r="D18" s="42" t="str">
        <x:v>Source review on macOS 26.4.1</x:v>
      </x:c>
      <x:c r="E18" s="42" t="str">
        <x:v>Two profile actions can overlap while DockActivationService awaits Dock reload.</x:v>
      </x:c>
      <x:c r="F18" s="42" t="str">
        <x:v>Trace every AppModel library write and Dock mutation across actor suspension points.</x:v>
      </x:c>
      <x:c r="G18" s="42" t="str">
        <x:v>Operations serialize and the latest queued switch runs after the active transaction.</x:v>
      </x:c>
      <x:c r="H18" s="42" t="str">
        <x:v>Independent in-memory copies wrote the same file and later actions could erase recovery state.</x:v>
      </x:c>
      <x:c r="I18" s="42" t="str">
        <x:v>Fail</x:v>
      </x:c>
      <x:c r="J18" s="42" t="str">
        <x:v>Not applicable</x:v>
      </x:c>
      <x:c r="K18" s="42" t="str">
        <x:v>Not applicable</x:v>
      </x:c>
      <x:c r="L18" s="42" t="str">
        <x:v>Not applicable</x:v>
      </x:c>
      <x:c r="M18" s="42" t="str"/>
      <x:c r="N18" s="42" t="str"/>
      <x:c r="O18" s="42" t="str"/>
      <x:c r="P18" s="42" t="str">
        <x:v>DEF-006, DEF-007, DEF-008, DEF-009, DEF-010, DEF-011, DEF-012</x:v>
      </x:c>
      <x:c r="Q18" s="42" t="str">
        <x:v>Codex</x:v>
      </x:c>
      <x:c r="R18" s="52" t="n">
        <x:v>46269.09583162037</x:v>
      </x:c>
      <x:c r="S18" s="42" t="str">
        <x:v>Static source trace found release-blocking state and recovery defects.</x:v>
      </x:c>
    </x:row>
    <x:row r="19">
      <x:c r="A19" s="42" t="str">
        <x:v>TR-CORE-SAFETY-001</x:v>
      </x:c>
      <x:c r="B19" s="42" t="str">
        <x:v>REL-002, PRF-008, PRF-018, XFR-004, XFR-005, XFR-006, REL-001</x:v>
      </x:c>
      <x:c r="C19" s="42" t="str">
        <x:v>Swift 6.3.3</x:v>
      </x:c>
      <x:c r="D19" s="42" t="str">
        <x:v>Swift 6.3.3 on macOS 26.4.1</x:v>
      </x:c>
      <x:c r="E19" s="42" t="str">
        <x:v>Generated app and spacer tiles require Dock GUIDs.</x:v>
      </x:c>
      <x:c r="F19" s="42" t="str">
        <x:v>Prepare an apply plan, execute it, compare the written and returned snapshots, test a preimage change, force reload a matching snapshot, and run the full core suite.</x:v>
      </x:c>
      <x:c r="G19" s="42" t="str">
        <x:v>The exact intended snapshot is written once, preimage drift stops safely, and forced recovery reloads the Dock.</x:v>
      </x:c>
      <x:c r="H19" s="42" t="str">
        <x:v>All 23 core tests passed, including prepared snapshot identity, preimage protection, forced reload, recovery retention, and monitor retry.</x:v>
      </x:c>
      <x:c r="I19" s="42" t="str">
        <x:v>Pass</x:v>
      </x:c>
      <x:c r="J19" s="42" t="str">
        <x:v>Not applicable</x:v>
      </x:c>
      <x:c r="K19" s="42" t="str">
        <x:v>Not applicable</x:v>
      </x:c>
      <x:c r="L19" s="42" t="str">
        <x:v>Not applicable</x:v>
      </x:c>
      <x:c r="M19" s="42"/>
      <x:c r="N19" s="42" t="str">
        <x:v>artifacts/core-tests-state-safety.log</x:v>
      </x:c>
      <x:c r="O19" s="42"/>
      <x:c r="P19" s="42" t="str">
        <x:v>DEF-007</x:v>
      </x:c>
      <x:c r="Q19" s="42" t="str">
        <x:v>Codex</x:v>
      </x:c>
      <x:c r="R19" s="52" t="n">
        <x:v>46269.09583164352</x:v>
      </x:c>
      <x:c r="S19" s="42" t="str">
        <x:v>This closes the deterministic snapshot root cause. Live interruption recovery remains pending.</x:v>
      </x:c>
    </x:row>
    <x:row r="20">
      <x:c r="A20" s="42" t="str">
        <x:v>TR-HARNESS-001</x:v>
      </x:c>
      <x:c r="B20" s="42" t="str">
        <x:v>REL-004</x:v>
      </x:c>
      <x:c r="C20" s="42" t="str">
        <x:v>Swift 6.3.3</x:v>
      </x:c>
      <x:c r="D20" s="42" t="str">
        <x:v>zsh on macOS 26.4.1</x:v>
      </x:c>
      <x:c r="E20" s="42" t="str">
        <x:v>The Dock probe wrapper is ready and no Dock mutation has started.</x:v>
      </x:c>
      <x:c r="F20" s="42" t="str">
        <x:v>Run Tools/run-dock-probe.sh while the wrapper stores the child exit code.</x:v>
      </x:c>
      <x:c r="G20" s="42" t="str">
        <x:v>The wrapper starts the probe, records it, restores the backup, and returns the probe exit code.</x:v>
      </x:c>
      <x:c r="H20" s="42" t="str">
        <x:v>zsh rejected assignment to its reserved status parameter before the probe started.</x:v>
      </x:c>
      <x:c r="I20" s="42" t="str">
        <x:v>Fail</x:v>
      </x:c>
      <x:c r="J20" s="42" t="str">
        <x:v>Not applicable</x:v>
      </x:c>
      <x:c r="K20" s="42" t="str">
        <x:v>Not applicable</x:v>
      </x:c>
      <x:c r="L20" s="42" t="str">
        <x:v>Not applicable</x:v>
      </x:c>
      <x:c r="M20" s="42" t="str"/>
      <x:c r="N20" s="42" t="str"/>
      <x:c r="O20" s="42" t="str"/>
      <x:c r="P20" s="42" t="str">
        <x:v>DEF-001</x:v>
      </x:c>
      <x:c r="Q20" s="42" t="str">
        <x:v>root</x:v>
      </x:c>
      <x:c r="R20" s="52" t="n">
        <x:v>46268.947761875</x:v>
      </x:c>
      <x:c r="S20" s="42" t="str">
        <x:v>No Dock preference was changed. The wrapper was repaired before the live probe.</x:v>
      </x:c>
    </x:row>
    <x:row r="21">
      <x:c r="A21" s="42" t="str">
        <x:v>TR-P0-003-NONPROFILE-FAIL</x:v>
      </x:c>
      <x:c r="B21" s="42" t="str">
        <x:v>PRF-013, PRF-014, PRF-015, REL-001, REL-002</x:v>
      </x:c>
      <x:c r="C21" s="42" t="str">
        <x:v>DockProbe 2026-09-04</x:v>
      </x:c>
      <x:c r="D21" s="42" t="str">
        <x:v>macOS 26.4.1, Apple M5</x:v>
      </x:c>
      <x:c r="E21" s="42" t="str">
        <x:v>The original Dock is backed up. A folder, recent apps, non-default settings, regular apps, and windows are present.</x:v>
      </x:c>
      <x:c r="F21" s="42" t="str">
        <x:v>Install the non-profile fixture, reload the Dock, apply a profile, then restore the full domain after the failed attempt.</x:v>
      </x:c>
      <x:c r="G21" s="42" t="str">
        <x:v>The fixture applies and the original Dock restores automatically with a verified replacement Dock process.</x:v>
      </x:c>
      <x:c r="H21" s="42" t="str">
        <x:v>The attempt failed and left the visible Dock incomplete until manual recovery restored the original layout.</x:v>
      </x:c>
      <x:c r="I21" s="42" t="str">
        <x:v>Fail</x:v>
      </x:c>
      <x:c r="J21" s="42" t="str">
        <x:v>Fail</x:v>
      </x:c>
      <x:c r="K21" s="42" t="str">
        <x:v>Not run</x:v>
      </x:c>
      <x:c r="L21" s="42" t="str">
        <x:v>Not applicable</x:v>
      </x:c>
      <x:c r="M21" s="42" t="str">
        <x:v>artifacts/dock-probe/nonprofile-full-20260903-2321-before.png</x:v>
      </x:c>
      <x:c r="N21" s="42" t="str">
        <x:v>artifacts/dock-probe/nonprofile-full-20260903-2321-manual-recovery.png</x:v>
      </x:c>
      <x:c r="O21" s="42" t="str">
        <x:v>artifacts/dock-probe/nonprofile-full-20260903-2321.mov</x:v>
      </x:c>
      <x:c r="P21" s="42" t="str">
        <x:v>DEF-013</x:v>
      </x:c>
      <x:c r="Q21" s="42" t="str">
        <x:v>root</x:v>
      </x:c>
      <x:c r="R21" s="52" t="n">
        <x:v>46269.18027777778</x:v>
      </x:c>
      <x:c r="S21" s="42" t="str">
        <x:v>The recovery path was fixed and the account Dock was restored before further testing.</x:v>
      </x:c>
    </x:row>
    <x:row r="22">
      <x:c r="A22" s="42" t="str">
        <x:v>TR-P0-003-NONPROFILE-PASS</x:v>
      </x:c>
      <x:c r="B22" s="42" t="str">
        <x:v>PRF-011, PRF-012, PRF-013, PRF-014, PRF-015, PRF-016, REL-001, REL-002</x:v>
      </x:c>
      <x:c r="C22" s="42" t="str">
        <x:v>DockProbe 2026-09-04</x:v>
      </x:c>
      <x:c r="D22" s="42" t="str">
        <x:v>macOS 26.4.1, Apple M5</x:v>
      </x:c>
      <x:c r="E22" s="42" t="str">
        <x:v>The original Dock is backed up. A real folder, dynamic recent apps, non-default Dock settings, regular apps, and windows are present.</x:v>
      </x:c>
      <x:c r="F22" s="42" t="str">
        <x:v>Apply the controlled app and spacer fixture, inspect the live Dock, verify non-profile state, restore the exact backup, and wait for the Dock to settle.</x:v>
      </x:c>
      <x:c r="G22" s="42" t="str">
        <x:v>Pinned apps and spacer apply while folders, recents, settings, regular apps, and windows remain valid. The original Dock then returns.</x:v>
      </x:c>
      <x:c r="H22" s="42" t="str">
        <x:v>The profile applied, the non-profile checks passed, no app or window changed, and the exact original Dock returned after a forced verified reload.</x:v>
      </x:c>
      <x:c r="I22" s="42" t="str">
        <x:v>Pass</x:v>
      </x:c>
      <x:c r="J22" s="42" t="str">
        <x:v>Pass</x:v>
      </x:c>
      <x:c r="K22" s="42" t="str">
        <x:v>Pass</x:v>
      </x:c>
      <x:c r="L22" s="42" t="str">
        <x:v>Not applicable</x:v>
      </x:c>
      <x:c r="M22" s="42" t="str">
        <x:v>artifacts/dock-probe/nonprofile-pass-20260904-0000-before.png</x:v>
      </x:c>
      <x:c r="N22" s="42" t="str">
        <x:v>artifacts/dock-probe/nonprofile-pass-20260904-0000-after-fully-settled.png</x:v>
      </x:c>
      <x:c r="O22" s="42" t="str">
        <x:v>artifacts/dock-probe/nonprofile-pass-20260904-0000.mov</x:v>
      </x:c>
      <x:c r="P22" s="42" t="str"/>
      <x:c r="Q22" s="42" t="str">
        <x:v>root</x:v>
      </x:c>
      <x:c r="R22" s="52" t="n">
        <x:v>46269.20805555556</x:v>
      </x:c>
      <x:c r="S22" s="42" t="str">
        <x:v>The report records foldersPreserved, recentAppsSettingPreserved, recentAppsRemainedValid, settings preservation, stable apps and windows, and restoredOriginal as true. This is not the second full sweep.</x:v>
      </x:c>
    </x:row>
    <x:row r="23">
      <x:c r="A23" s="42" t="str">
        <x:v>TR-CORE-REGRESSION-003</x:v>
      </x:c>
      <x:c r="B23" s="42" t="str">
        <x:v>PRV-001, PRF-006, PRF-008, PRF-018, PRF-025, PRF-026, PRF-027, FOC-003, FOC-004, FOC-005, XFR-003, XFR-004, XFR-005, XFR-006, REL-001, REL-002</x:v>
      </x:c>
      <x:c r="C23" s="42" t="str">
        <x:v>Swift 6.3.3, source 2026-09-04</x:v>
      </x:c>
      <x:c r="D23" s="42" t="str">
        <x:v>Swift Testing on macOS 26.4.1</x:v>
      </x:c>
      <x:c r="E23" s="42" t="str">
        <x:v>Current DockitCore source and an isolated temporary build directory.</x:v>
      </x:c>
      <x:c r="F23" s="42" t="str">
        <x:v>Build DockitCore and run the complete Swift Testing suite.</x:v>
      </x:c>
      <x:c r="G23" s="42" t="str">
        <x:v>All current core safety, persistence, archive, monitor, apply, recovery, and Focus queue tests pass.</x:v>
      </x:c>
      <x:c r="H23" s="42" t="str">
        <x:v>All 32 tests passed in 0.118 seconds. The package emitted only pre-existing resource and exclude warnings.</x:v>
      </x:c>
      <x:c r="I23" s="42" t="str">
        <x:v>Pass</x:v>
      </x:c>
      <x:c r="J23" s="42" t="str">
        <x:v>Not applicable</x:v>
      </x:c>
      <x:c r="K23" s="42" t="str">
        <x:v>Not applicable</x:v>
      </x:c>
      <x:c r="L23" s="42" t="str">
        <x:v>Not applicable</x:v>
      </x:c>
      <x:c r="M23" s="42" t="str"/>
      <x:c r="N23" s="42" t="str"/>
      <x:c r="O23" s="42" t="str"/>
      <x:c r="P23" s="42" t="str"/>
      <x:c r="Q23" s="42" t="str">
        <x:v>Codex</x:v>
      </x:c>
      <x:c r="R23" s="52" t="n">
        <x:v>46269.25454537037</x:v>
      </x:c>
      <x:c r="S23" s="42" t="str">
        <x:v>This run was captured in the active task output. The next full sweep should also save a durable log artifact.</x:v>
      </x:c>
    </x:row>
    <x:row r="24">
      <x:c r="A24" s="42" t="str">
        <x:v>TR-ACTIVATION-QUEUE-001</x:v>
      </x:c>
      <x:c r="B24" s="42" t="str">
        <x:v>PRF-009, PRF-010, PRF-025, REL-003, MEN-006</x:v>
      </x:c>
      <x:c r="C24" s="42" t="str">
        <x:v>Debug 2026-09-03</x:v>
      </x:c>
      <x:c r="D24" s="42" t="str">
        <x:v>macOS 26.4.1, dark appearance</x:v>
      </x:c>
      <x:c r="E24" s="42" t="str">
        <x:v>Work is active, Reading is selected, and two distinct profile switches can be requested before the first reload settles.</x:v>
      </x:c>
      <x:c r="F24" s="42" t="str">
        <x:v>Start a switch, request another profile during the transaction, inspect status and active markers, and review the recording frame by frame.</x:v>
      </x:c>
      <x:c r="G24" s="42" t="str">
        <x:v>The active transaction finishes, the latest queued request runs next, and no partial Dock state is saved as an edit.</x:v>
      </x:c>
      <x:c r="H24" s="42" t="str">
        <x:v>The recording shows one Work to Reading demo activation. Progress feedback appears within about 150 ms, the prior profile remains active until completion, and the final state is truthful. No second request occurs, the real Dock is not shown, and Reduce Motion is not enabled.</x:v>
      </x:c>
      <x:c r="I24" s="42" t="str">
        <x:v>Blocked</x:v>
      </x:c>
      <x:c r="J24" s="42" t="str">
        <x:v>Pass</x:v>
      </x:c>
      <x:c r="K24" s="42" t="str">
        <x:v>Blocked</x:v>
      </x:c>
      <x:c r="L24" s="42" t="str">
        <x:v>Blocked</x:v>
      </x:c>
      <x:c r="M24" s="42" t="str">
        <x:v>artifacts/ui/activation-queue-before.jpeg</x:v>
      </x:c>
      <x:c r="N24" s="42" t="str">
        <x:v>artifacts/ui/activation-queue-after.jpeg</x:v>
      </x:c>
      <x:c r="O24" s="42" t="str">
        <x:v>artifacts/ui/activation-queue-motion.mov</x:v>
      </x:c>
      <x:c r="P24" s="42"/>
      <x:c r="Q24" s="42" t="str">
        <x:v>root</x:v>
      </x:c>
      <x:c r="R24" s="52" t="n">
        <x:v>46269.15755787037</x:v>
      </x:c>
      <x:c r="S24" s="42" t="str">
        <x:v>The review in docs/activation-queue-motion-review.md accepts the single activation timing and continuity only. Queue handling, a real Dock transition, and Reduce Motion remain unproven.</x:v>
      </x:c>
    </x:row>
    <x:row r="25">
      <x:c r="A25" s="42" t="str">
        <x:v>TR-MENU-SWITCH-001</x:v>
      </x:c>
      <x:c r="B25" s="42" t="str">
        <x:v>PRF-010, MEN-001</x:v>
      </x:c>
      <x:c r="C25" s="42" t="str">
        <x:v>Debug 2026-09-04</x:v>
      </x:c>
      <x:c r="D25" s="42" t="str">
        <x:v>macOS 26.4.1, dark appearance</x:v>
      </x:c>
      <x:c r="E25" s="42" t="str">
        <x:v>Multiple profiles exist and the Docks app menu is available.</x:v>
      </x:c>
      <x:c r="F25" s="42" t="str">
        <x:v>Choose a different profile from the Docks menu and inspect the management window after the Dock settles.</x:v>
      </x:c>
      <x:c r="G25" s="42" t="str">
        <x:v>The menu uses the same safe switch path and the chosen profile becomes active in one action.</x:v>
      </x:c>
      <x:c r="H25" s="42" t="str">
        <x:v>Reading became active and the main window reported the same result as direct activation.</x:v>
      </x:c>
      <x:c r="I25" s="42" t="str">
        <x:v>Pass</x:v>
      </x:c>
      <x:c r="J25" s="42" t="str">
        <x:v>Pass</x:v>
      </x:c>
      <x:c r="K25" s="42" t="str">
        <x:v>Not run</x:v>
      </x:c>
      <x:c r="L25" s="42" t="str">
        <x:v>Not run</x:v>
      </x:c>
      <x:c r="M25" s="42" t="str"/>
      <x:c r="N25" s="42" t="str">
        <x:v>artifacts/ui/docks-menu-direct-switch-result.jpeg</x:v>
      </x:c>
      <x:c r="O25" s="42" t="str"/>
      <x:c r="P25" s="42" t="str"/>
      <x:c r="Q25" s="42" t="str">
        <x:v>root</x:v>
      </x:c>
      <x:c r="R25" s="52" t="n">
        <x:v>46269.220138888886</x:v>
      </x:c>
      <x:c r="S25" s="42" t="str">
        <x:v>Keyboard menu navigation remains for the accessibility sweep.</x:v>
      </x:c>
    </x:row>
    <x:row r="26">
      <x:c r="A26" s="42" t="str">
        <x:v>TR-DELETE-001</x:v>
      </x:c>
      <x:c r="B26" s="42" t="str">
        <x:v>PRF-007, MEN-002</x:v>
      </x:c>
      <x:c r="C26" s="42" t="str">
        <x:v>Debug 2026-09-03</x:v>
      </x:c>
      <x:c r="D26" s="42" t="str">
        <x:v>macOS 26.4.1, dark appearance</x:v>
      </x:c>
      <x:c r="E26" s="42" t="str">
        <x:v>At least three profiles exist, including one active and one inactive profile.</x:v>
      </x:c>
      <x:c r="F26" s="42" t="str">
        <x:v>Delete an inactive profile, then delete an active non-final profile through the native management menu and confirm each warning.</x:v>
      </x:c>
      <x:c r="G26" s="42" t="str">
        <x:v>The stored profile is removed only after confirmation and the real Dock does not change.</x:v>
      </x:c>
      <x:c r="H26" s="42" t="str">
        <x:v>Inactive deletion left the current Dock unchanged. Active deletion removed management state, kept the real Dock, and clearly asked the user to activate another profile to resume autosave.</x:v>
      </x:c>
      <x:c r="I26" s="42" t="str">
        <x:v>Pass</x:v>
      </x:c>
      <x:c r="J26" s="42" t="str">
        <x:v>Pass</x:v>
      </x:c>
      <x:c r="K26" s="42" t="str">
        <x:v>Not applicable</x:v>
      </x:c>
      <x:c r="L26" s="42" t="str">
        <x:v>Not run</x:v>
      </x:c>
      <x:c r="M26" s="42" t="str">
        <x:v>artifacts/ui/delete-active-warning.jpeg</x:v>
      </x:c>
      <x:c r="N26" s="42" t="str">
        <x:v>artifacts/ui/delete-active-retest-pass.jpeg</x:v>
      </x:c>
      <x:c r="O26" s="42" t="str"/>
      <x:c r="P26" s="42" t="str"/>
      <x:c r="Q26" s="42" t="str">
        <x:v>root</x:v>
      </x:c>
      <x:c r="R26" s="52" t="n">
        <x:v>46269.16841435185</x:v>
      </x:c>
      <x:c r="S26" s="42" t="str">
        <x:v>The inactive deletion result is recorded separately as evidence.</x:v>
      </x:c>
    </x:row>
    <x:row r="27">
      <x:c r="A27" s="42" t="str">
        <x:v>TR-DELETE-FINAL-001</x:v>
      </x:c>
      <x:c r="B27" s="42" t="str">
        <x:v>PRF-008, MEN-002</x:v>
      </x:c>
      <x:c r="C27" s="42" t="str">
        <x:v>Debug 2026-09-03</x:v>
      </x:c>
      <x:c r="D27" s="42" t="str">
        <x:v>macOS 26.4.1, dark appearance</x:v>
      </x:c>
      <x:c r="E27" s="42" t="str">
        <x:v>Exactly one profile remains.</x:v>
      </x:c>
      <x:c r="F27" s="42" t="str">
        <x:v>Open every visible deletion entry point for the final profile.</x:v>
      </x:c>
      <x:c r="G27" s="42" t="str">
        <x:v>Delete is unavailable and the final profile remains intact.</x:v>
      </x:c>
      <x:c r="H27" s="42" t="str">
        <x:v>The native Delete command was disabled for the final profile and no stored or real Dock state changed.</x:v>
      </x:c>
      <x:c r="I27" s="42" t="str">
        <x:v>Pass</x:v>
      </x:c>
      <x:c r="J27" s="42" t="str">
        <x:v>Pass</x:v>
      </x:c>
      <x:c r="K27" s="42" t="str">
        <x:v>Not applicable</x:v>
      </x:c>
      <x:c r="L27" s="42" t="str">
        <x:v>Not run</x:v>
      </x:c>
      <x:c r="M27" s="42" t="str"/>
      <x:c r="N27" s="42" t="str">
        <x:v>artifacts/ui/final-profile-delete-disabled-evidence.png</x:v>
      </x:c>
      <x:c r="O27" s="42" t="str"/>
      <x:c r="P27" s="42" t="str"/>
      <x:c r="Q27" s="42" t="str">
        <x:v>root</x:v>
      </x:c>
      <x:c r="R27" s="52" t="n">
        <x:v>46269.176712962966</x:v>
      </x:c>
      <x:c r="S27" s="42"/>
    </x:row>
    <x:row r="28">
      <x:c r="A28" s="42" t="str">
        <x:v>TR-EXPORT-001</x:v>
      </x:c>
      <x:c r="B28" s="42" t="str">
        <x:v>XFR-001, XFR-002</x:v>
      </x:c>
      <x:c r="C28" s="42" t="str">
        <x:v>Debug 2026-09-03</x:v>
      </x:c>
      <x:c r="D28" s="42" t="str">
        <x:v>macOS 26.4.1</x:v>
      </x:c>
      <x:c r="E28" s="42" t="str">
        <x:v>Work and Reading profiles exist with colors, apps, and a spacer.</x:v>
      </x:c>
      <x:c r="F28" s="42" t="str">
        <x:v>Export the selected profiles and inspect the versioned dockit archive.</x:v>
      </x:c>
      <x:c r="G28" s="42" t="str">
        <x:v>The local file contains only portable profile data and no local raw Dock tiles or unrelated Dock state.</x:v>
      </x:c>
      <x:c r="H28" s="42" t="str">
        <x:v>The version 1 archive contains two profiles with names, colors, app references, and spacer layout. It excludes local raw tiles, folders, recents, preferences, windows, and running state.</x:v>
      </x:c>
      <x:c r="I28" s="42" t="str">
        <x:v>Pass</x:v>
      </x:c>
      <x:c r="J28" s="42" t="str">
        <x:v>Not applicable</x:v>
      </x:c>
      <x:c r="K28" s="42" t="str">
        <x:v>Not applicable</x:v>
      </x:c>
      <x:c r="L28" s="42" t="str">
        <x:v>Not applicable</x:v>
      </x:c>
      <x:c r="M28" s="42" t="str"/>
      <x:c r="N28" s="42" t="str">
        <x:v>artifacts/ui/Dockit QA Export.dockit</x:v>
      </x:c>
      <x:c r="O28" s="42" t="str"/>
      <x:c r="P28" s="42" t="str"/>
      <x:c r="Q28" s="42" t="str">
        <x:v>root</x:v>
      </x:c>
      <x:c r="R28" s="52" t="n">
        <x:v>46269.16987268518</x:v>
      </x:c>
      <x:c r="S28" s="42"/>
    </x:row>
    <x:row r="29">
      <x:c r="A29" s="42" t="str">
        <x:v>TR-IMPORT-UI-001</x:v>
      </x:c>
      <x:c r="B29" s="42" t="str">
        <x:v>XFR-003, XFR-005, MEN-002</x:v>
      </x:c>
      <x:c r="C29" s="42" t="str">
        <x:v>Debug 2026-09-03</x:v>
      </x:c>
      <x:c r="D29" s="42" t="str">
        <x:v>macOS 26.4.1, dark appearance</x:v>
      </x:c>
      <x:c r="E29" s="42" t="str">
        <x:v>An export contains Work and Reading, which collide with existing names.</x:v>
      </x:c>
      <x:c r="F29" s="42" t="str">
        <x:v>Open the import preview and inspect the collision explanation, profile rows, and primary action.</x:v>
      </x:c>
      <x:c r="G29" s="42" t="str">
        <x:v>The sheet presents the two renamed results without clipping or excess empty list space.</x:v>
      </x:c>
      <x:c r="H29" s="42" t="str">
        <x:v>The first layout left awkward list space and weakened the relationship between the collision summary and import action.</x:v>
      </x:c>
      <x:c r="I29" s="42" t="str">
        <x:v>Pass</x:v>
      </x:c>
      <x:c r="J29" s="42" t="str">
        <x:v>Fail</x:v>
      </x:c>
      <x:c r="K29" s="42" t="str">
        <x:v>Not applicable</x:v>
      </x:c>
      <x:c r="L29" s="42" t="str">
        <x:v>Not run</x:v>
      </x:c>
      <x:c r="M29" s="42" t="str"/>
      <x:c r="N29" s="42" t="str">
        <x:v>artifacts/ui/import-preview-layout-first-fix.jpeg</x:v>
      </x:c>
      <x:c r="O29" s="42" t="str"/>
      <x:c r="P29" s="42" t="str">
        <x:v>DEF-018</x:v>
      </x:c>
      <x:c r="Q29" s="42" t="str">
        <x:v>root</x:v>
      </x:c>
      <x:c r="R29" s="52" t="n">
        <x:v>46269.172800925924</x:v>
      </x:c>
      <x:c r="S29" s="42"/>
    </x:row>
    <x:row r="30">
      <x:c r="A30" s="42" t="str">
        <x:v>TR-IMPORT-UI-002</x:v>
      </x:c>
      <x:c r="B30" s="42" t="str">
        <x:v>XFR-003, XFR-005, MEN-002</x:v>
      </x:c>
      <x:c r="C30" s="42" t="str">
        <x:v>Debug 2026-09-03</x:v>
      </x:c>
      <x:c r="D30" s="42" t="str">
        <x:v>macOS 26.4.1, dark appearance</x:v>
      </x:c>
      <x:c r="E30" s="42" t="str">
        <x:v>The import preview layout fix is installed and the same two-name collision fixture is ready.</x:v>
      </x:c>
      <x:c r="F30" s="42" t="str">
        <x:v>Review the preview, import both profiles, and inspect the source and appended profile names.</x:v>
      </x:c>
      <x:c r="G30" s="42" t="str">
        <x:v>The preview is compact, default names are unique, cancellation remains available, and import appends without changing the source profiles.</x:v>
      </x:c>
      <x:c r="H30" s="42" t="str">
        <x:v>The sheet clearly previewed Work 2 and Reading 2. Import appended both copies and preserved Work and Reading.</x:v>
      </x:c>
      <x:c r="I30" s="42" t="str">
        <x:v>Pass</x:v>
      </x:c>
      <x:c r="J30" s="42" t="str">
        <x:v>Pass</x:v>
      </x:c>
      <x:c r="K30" s="42" t="str">
        <x:v>Not applicable</x:v>
      </x:c>
      <x:c r="L30" s="42" t="str">
        <x:v>Not run</x:v>
      </x:c>
      <x:c r="M30" s="42" t="str">
        <x:v>artifacts/ui/import-preview-layout-first-fix.jpeg</x:v>
      </x:c>
      <x:c r="N30" s="42" t="str">
        <x:v>artifacts/ui/import-collision-result.jpeg</x:v>
      </x:c>
      <x:c r="O30" s="42" t="str"/>
      <x:c r="P30" s="42" t="str"/>
      <x:c r="Q30" s="42" t="str">
        <x:v>root</x:v>
      </x:c>
      <x:c r="R30" s="52" t="n">
        <x:v>46269.17359953704</x:v>
      </x:c>
      <x:c r="S30" s="42"/>
    </x:row>
    <x:row r="31">
      <x:c r="A31" s="42" t="str">
        <x:v>TR-IMPORT-MALFORMED-001</x:v>
      </x:c>
      <x:c r="B31" s="42" t="str">
        <x:v>XFR-004, MEN-002</x:v>
      </x:c>
      <x:c r="C31" s="42" t="str">
        <x:v>Debug 2026-09-03</x:v>
      </x:c>
      <x:c r="D31" s="42" t="str">
        <x:v>macOS 26.4.1, dark appearance</x:v>
      </x:c>
      <x:c r="E31" s="42" t="str">
        <x:v>A malformed .dockit fixture exists and valid profiles are loaded.</x:v>
      </x:c>
      <x:c r="F31" s="42" t="str">
        <x:v>Attempt to import the malformed file, dismiss the error, and compare saved and real Dock state.</x:v>
      </x:c>
      <x:c r="G31" s="42" t="str">
        <x:v>The file is rejected before any library or Dock mutation and the error is understandable.</x:v>
      </x:c>
      <x:c r="H31" s="42" t="str">
        <x:v>dockit reported that the file was damaged or unsupported. Existing profiles and the actual Dock remained unchanged.</x:v>
      </x:c>
      <x:c r="I31" s="42" t="str">
        <x:v>Pass</x:v>
      </x:c>
      <x:c r="J31" s="42" t="str">
        <x:v>Pass</x:v>
      </x:c>
      <x:c r="K31" s="42" t="str">
        <x:v>Not applicable</x:v>
      </x:c>
      <x:c r="L31" s="42" t="str">
        <x:v>Not run</x:v>
      </x:c>
      <x:c r="M31" s="42" t="str"/>
      <x:c r="N31" s="42" t="str">
        <x:v>artifacts/ui/import-malformed-error.jpeg</x:v>
      </x:c>
      <x:c r="O31" s="42" t="str"/>
      <x:c r="P31" s="42" t="str"/>
      <x:c r="Q31" s="42" t="str">
        <x:v>root</x:v>
      </x:c>
      <x:c r="R31" s="52" t="n">
        <x:v>46269.17395833333</x:v>
      </x:c>
      <x:c r="S31" s="42"/>
    </x:row>
    <x:row r="32">
      <x:c r="A32" s="42" t="str">
        <x:v>TR-MISSING-APP-001</x:v>
      </x:c>
      <x:c r="B32" s="42" t="str">
        <x:v>XFR-006</x:v>
      </x:c>
      <x:c r="C32" s="42" t="str">
        <x:v>Debug 2026-09-03</x:v>
      </x:c>
      <x:c r="D32" s="42" t="str">
        <x:v>macOS 26.4.1, dark appearance</x:v>
      </x:c>
      <x:c r="E32" s="42" t="str">
        <x:v>An imported Games profile retains unavailable Steam.</x:v>
      </x:c>
      <x:c r="F32" s="42" t="str">
        <x:v>Request activation and inspect the unavailable-app review sheet.</x:v>
      </x:c>
      <x:c r="G32" s="42" t="str">
        <x:v>One clear row identifies Steam and offers explicit skip or cancel actions.</x:v>
      </x:c>
      <x:c r="H32" s="42" t="str">
        <x:v>The sheet retained Steam but displayed several empty placeholder rows below it.</x:v>
      </x:c>
      <x:c r="I32" s="42" t="str">
        <x:v>Pass</x:v>
      </x:c>
      <x:c r="J32" s="42" t="str">
        <x:v>Fail</x:v>
      </x:c>
      <x:c r="K32" s="42" t="str">
        <x:v>Not applicable</x:v>
      </x:c>
      <x:c r="L32" s="42" t="str">
        <x:v>Not run</x:v>
      </x:c>
      <x:c r="M32" s="42" t="str"/>
      <x:c r="N32" s="42" t="str">
        <x:v>artifacts/ui/missing-app-before-list-fix.jpeg</x:v>
      </x:c>
      <x:c r="O32" s="42" t="str"/>
      <x:c r="P32" s="42" t="str">
        <x:v>DEF-017</x:v>
      </x:c>
      <x:c r="Q32" s="42" t="str">
        <x:v>root</x:v>
      </x:c>
      <x:c r="R32" s="52" t="n">
        <x:v>46269.1471875</x:v>
      </x:c>
      <x:c r="S32" s="42"/>
    </x:row>
    <x:row r="33">
      <x:c r="A33" s="42" t="str">
        <x:v>TR-MISSING-APP-002</x:v>
      </x:c>
      <x:c r="B33" s="42" t="str">
        <x:v>XFR-006</x:v>
      </x:c>
      <x:c r="C33" s="42" t="str">
        <x:v>Debug 2026-09-03</x:v>
      </x:c>
      <x:c r="D33" s="42" t="str">
        <x:v>macOS 26.4.1, dark appearance</x:v>
      </x:c>
      <x:c r="E33" s="42" t="str">
        <x:v>The missing-app list fix is installed and the same unavailable Steam profile is ready.</x:v>
      </x:c>
      <x:c r="F33" s="42" t="str">
        <x:v>Review the unavailable item, choose Switch and Skip Missing Apps, then inspect the active profile and retained item.</x:v>
      </x:c>
      <x:c r="G33" s="42" t="str">
        <x:v>The review contains only real items, the explicit skip applies available apps, and Steam remains saved and marked unavailable.</x:v>
      </x:c>
      <x:c r="H33" s="42" t="str">
        <x:v>The sheet showed one Steam row. Games became active after explicit skip and Steam stayed in the profile with an unavailable label.</x:v>
      </x:c>
      <x:c r="I33" s="42" t="str">
        <x:v>Pass</x:v>
      </x:c>
      <x:c r="J33" s="42" t="str">
        <x:v>Pass</x:v>
      </x:c>
      <x:c r="K33" s="42" t="str">
        <x:v>Not applicable</x:v>
      </x:c>
      <x:c r="L33" s="42" t="str">
        <x:v>Not run</x:v>
      </x:c>
      <x:c r="M33" s="42" t="str">
        <x:v>artifacts/ui/missing-app-before-list-fix.jpeg</x:v>
      </x:c>
      <x:c r="N33" s="42" t="str">
        <x:v>artifacts/ui/missing-app-skip-result.jpeg</x:v>
      </x:c>
      <x:c r="O33" s="42" t="str"/>
      <x:c r="P33" s="42" t="str"/>
      <x:c r="Q33" s="42" t="str">
        <x:v>root</x:v>
      </x:c>
      <x:c r="R33" s="52" t="n">
        <x:v>46269.14818287037</x:v>
      </x:c>
      <x:c r="S33" s="42"/>
    </x:row>
    <x:row r="34">
      <x:c r="A34" s="42" t="str">
        <x:v>TR-FIRST-LAUNCH-001</x:v>
      </x:c>
      <x:c r="B34" s="42" t="str">
        <x:v>PRF-001, PRF-023, PRV-002</x:v>
      </x:c>
      <x:c r="C34" s="42" t="str">
        <x:v>Signed Debug 2026-09-04</x:v>
      </x:c>
      <x:c r="D34" s="42" t="str">
        <x:v>macOS 26.4.1, real user Dock</x:v>
      </x:c>
      <x:c r="E34" s="42" t="str">
        <x:v>dockit has no local library and the existing account Dock contains four pinned apps.</x:v>
      </x:c>
      <x:c r="F34" s="42" t="str">
        <x:v>Launch dockit, choose Save Current Dock, and inspect the resulting profile without signing in.</x:v>
      </x:c>
      <x:c r="G34" s="42" t="str">
        <x:v>Setup offers current or empty Dock choices. Saving current captures pinned apps and makes the profile active without changing the Dock.</x:v>
      </x:c>
      <x:c r="H34" s="42" t="str">
        <x:v>The native setup offered both choices. Current Dock captured Dia, Ghostty, Visual Studio Code, and Hermes and became active without credentials.</x:v>
      </x:c>
      <x:c r="I34" s="42" t="str">
        <x:v>Pass</x:v>
      </x:c>
      <x:c r="J34" s="42" t="str">
        <x:v>Pass</x:v>
      </x:c>
      <x:c r="K34" s="42" t="str">
        <x:v>Not applicable</x:v>
      </x:c>
      <x:c r="L34" s="42" t="str">
        <x:v>Not run</x:v>
      </x:c>
      <x:c r="M34" s="42" t="str">
        <x:v>artifacts/ui/real-first-launch-setup.jpeg</x:v>
      </x:c>
      <x:c r="N34" s="42" t="str">
        <x:v>artifacts/ui/real-current-dock-captured.jpeg</x:v>
      </x:c>
      <x:c r="O34" s="42" t="str"/>
      <x:c r="P34" s="42" t="str"/>
      <x:c r="Q34" s="42" t="str">
        <x:v>root</x:v>
      </x:c>
      <x:c r="R34" s="52" t="n">
        <x:v>46269.20958333334</x:v>
      </x:c>
      <x:c r="S34" s="42" t="str">
        <x:v>The empty first-profile choice remains for its own behavior test.</x:v>
      </x:c>
    </x:row>
    <x:row r="35">
      <x:c r="A35" s="42" t="str">
        <x:v>TR-EDITOR-LIVE-001</x:v>
      </x:c>
      <x:c r="B35" s="42" t="str">
        <x:v>PRF-018, PRF-019, PRF-020, PRF-021, PRF-022, PRF-023</x:v>
      </x:c>
      <x:c r="C35" s="42" t="str">
        <x:v>Signed Debug 2026-09-04</x:v>
      </x:c>
      <x:c r="D35" s="42" t="str">
        <x:v>macOS 26.4.1, real user Dock</x:v>
      </x:c>
      <x:c r="E35" s="42" t="str">
        <x:v>Current Dock is active and its four-app baseline is saved.</x:v>
      </x:c>
      <x:c r="F35" s="42" t="str">
        <x:v>Add a native spacer, add Calculator directly in the Dock, move Calculator before the spacer, remove the test app and spacer, and return to the baseline.</x:v>
      </x:c>
      <x:c r="G35" s="42" t="str">
        <x:v>Each direct Dock edit updates the active profile, preserves item order, and cleanup restores the baseline.</x:v>
      </x:c>
      <x:c r="H35" s="42" t="str">
        <x:v>The real Dock showed each add and move in order. Removal returned it to the four-app baseline.</x:v>
      </x:c>
      <x:c r="I35" s="42" t="str">
        <x:v>Pass</x:v>
      </x:c>
      <x:c r="J35" s="42" t="str">
        <x:v>Pass</x:v>
      </x:c>
      <x:c r="K35" s="42" t="str">
        <x:v>Not run</x:v>
      </x:c>
      <x:c r="L35" s="42" t="str">
        <x:v>Not applicable</x:v>
      </x:c>
      <x:c r="M35" s="42" t="str">
        <x:v>artifacts/live-app-editor/editor-restored-dock.png</x:v>
      </x:c>
      <x:c r="N35" s="42" t="str">
        <x:v>artifacts/live-app-editor/direct-edit-cleanup-final.png</x:v>
      </x:c>
      <x:c r="O35" s="42" t="str"/>
      <x:c r="P35" s="42" t="str"/>
      <x:c r="Q35" s="42" t="str">
        <x:v>root</x:v>
      </x:c>
      <x:c r="R35" s="52" t="n">
        <x:v>46269.214780092596</x:v>
      </x:c>
      <x:c r="S35" s="42" t="str">
        <x:v>The actual Dock remained the editor. No fake Dock surface was introduced.</x:v>
      </x:c>
    </x:row>
    <x:row r="36">
      <x:c r="A36" s="42" t="str">
        <x:v>TR-EDITOR-AUTOSAVE-001</x:v>
      </x:c>
      <x:c r="B36" s="42" t="str">
        <x:v>PRF-018</x:v>
      </x:c>
      <x:c r="C36" s="42" t="str">
        <x:v>Signed Debug 2026-09-04</x:v>
      </x:c>
      <x:c r="D36" s="42" t="str">
        <x:v>macOS 26.4.1, real user Dock</x:v>
      </x:c>
      <x:c r="E36" s="42" t="str">
        <x:v>dockit is running with Current Dock active and Calculator absent.</x:v>
      </x:c>
      <x:c r="F36" s="42" t="str">
        <x:v>Add Calculator directly to the real Dock, wait for monitoring, and inspect dockit before cleanup.</x:v>
      </x:c>
      <x:c r="G36" s="42" t="str">
        <x:v>dockit saves the observed edit into the active profile and reports the save.</x:v>
      </x:c>
      <x:c r="H36" s="42" t="str">
        <x:v>Calculator appeared in Current Dock and dockit reported Saved changes from the Dock.</x:v>
      </x:c>
      <x:c r="I36" s="42" t="str">
        <x:v>Pass</x:v>
      </x:c>
      <x:c r="J36" s="42" t="str">
        <x:v>Pass</x:v>
      </x:c>
      <x:c r="K36" s="42" t="str">
        <x:v>Not applicable</x:v>
      </x:c>
      <x:c r="L36" s="42" t="str">
        <x:v>Not run</x:v>
      </x:c>
      <x:c r="M36" s="42" t="str">
        <x:v>artifacts/live-app-editor/external-calculator-added-dock.png</x:v>
      </x:c>
      <x:c r="N36" s="42" t="str">
        <x:v>artifacts/ui/external-dock-edit-autosaved.jpeg</x:v>
      </x:c>
      <x:c r="O36" s="42" t="str"/>
      <x:c r="P36" s="42" t="str"/>
      <x:c r="Q36" s="42" t="str">
        <x:v>root</x:v>
      </x:c>
      <x:c r="R36" s="52" t="n">
        <x:v>46269.21474537037</x:v>
      </x:c>
      <x:c r="S36" s="42"/>
    </x:row>
    <x:row r="37">
      <x:c r="A37" s="42" t="str">
        <x:v>TR-METADATA-001</x:v>
      </x:c>
      <x:c r="B37" s="42" t="str">
        <x:v>PRF-025, PRF-026</x:v>
      </x:c>
      <x:c r="C37" s="42" t="str">
        <x:v>Source audit 2026-09-04</x:v>
      </x:c>
      <x:c r="D37" s="42" t="str">
        <x:v>Dock preference snapshot comparison</x:v>
      </x:c>
      <x:c r="E37" s="42" t="str">
        <x:v>macOS may normalize Dock tile metadata while preserving the visible layout.</x:v>
      </x:c>
      <x:c r="F37" s="42" t="str">
        <x:v>Compare semantically equal snapshots with different raw metadata through apply, monitor, and relaunch reconciliation paths.</x:v>
      </x:c>
      <x:c r="G37" s="42" t="str">
        <x:v>Equivalent layouts do not trigger a false edit, failed verification, or changed-while-closed prompt.</x:v>
      </x:c>
      <x:c r="H37" s="42" t="str">
        <x:v>Raw equality treated Dock-owned metadata differences as user changes and could create false verification or reconciliation work.</x:v>
      </x:c>
      <x:c r="I37" s="42" t="str">
        <x:v>Fail</x:v>
      </x:c>
      <x:c r="J37" s="42" t="str">
        <x:v>Not applicable</x:v>
      </x:c>
      <x:c r="K37" s="42" t="str">
        <x:v>Not applicable</x:v>
      </x:c>
      <x:c r="L37" s="42" t="str">
        <x:v>Not applicable</x:v>
      </x:c>
      <x:c r="M37" s="42" t="str"/>
      <x:c r="N37" s="42" t="str"/>
      <x:c r="O37" s="42" t="str"/>
      <x:c r="P37" s="42" t="str">
        <x:v>DEF-020</x:v>
      </x:c>
      <x:c r="Q37" s="42" t="str">
        <x:v>Codex</x:v>
      </x:c>
      <x:c r="R37" s="52" t="n">
        <x:v>46269.21215277778</x:v>
      </x:c>
      <x:c r="S37" s="42"/>
    </x:row>
    <x:row r="38">
      <x:c r="A38" s="42" t="str">
        <x:v>TR-METADATA-002</x:v>
      </x:c>
      <x:c r="B38" s="42" t="str">
        <x:v>PRF-025, PRF-026</x:v>
      </x:c>
      <x:c r="C38" s="42" t="str">
        <x:v>Swift 6.3.3, source 2026-09-04</x:v>
      </x:c>
      <x:c r="D38" s="42" t="str">
        <x:v>Swift Testing and real app relaunch on macOS 26.4.1</x:v>
      </x:c>
      <x:c r="E38" s="42" t="str">
        <x:v>Layout-based comparison is used by apply verification, Dock monitoring, and relaunch reconciliation.</x:v>
      </x:c>
      <x:c r="F38" s="42" t="str">
        <x:v>Run the metadata normalization tests, relaunch after a real Dock edit cycle, and inspect whether a false reconciliation sheet appears.</x:v>
      </x:c>
      <x:c r="G38" s="42" t="str">
        <x:v>Metadata-only changes compare equal and relaunch proceeds without a false changed-while-closed prompt.</x:v>
      </x:c>
      <x:c r="H38" s="42" t="str">
        <x:v>All metadata tests passed and the real editor reopened on Current Dock with no false reconciliation prompt.</x:v>
      </x:c>
      <x:c r="I38" s="42" t="str">
        <x:v>Pass</x:v>
      </x:c>
      <x:c r="J38" s="42" t="str">
        <x:v>Pass</x:v>
      </x:c>
      <x:c r="K38" s="42" t="str">
        <x:v>Not applicable</x:v>
      </x:c>
      <x:c r="L38" s="42" t="str">
        <x:v>Not applicable</x:v>
      </x:c>
      <x:c r="M38" s="42" t="str"/>
      <x:c r="N38" s="42" t="str">
        <x:v>artifacts/ui/real-editor-reopen-no-false-reconcile.jpeg</x:v>
      </x:c>
      <x:c r="O38" s="42" t="str"/>
      <x:c r="P38" s="42" t="str"/>
      <x:c r="Q38" s="42" t="str">
        <x:v>Codex</x:v>
      </x:c>
      <x:c r="R38" s="52" t="n">
        <x:v>46269.2127662037</x:v>
      </x:c>
      <x:c r="S38" s="42"/>
    </x:row>
    <x:row r="39">
      <x:c r="A39" s="42" t="str">
        <x:v>TR-RECONCILE-001</x:v>
      </x:c>
      <x:c r="B39" s="42" t="str">
        <x:v>PRF-026, REL-002, REL-003</x:v>
      </x:c>
      <x:c r="C39" s="42" t="str">
        <x:v>Signed Debug 2026-09-04</x:v>
      </x:c>
      <x:c r="D39" s="42" t="str">
        <x:v>macOS 26.4.1, dark appearance</x:v>
      </x:c>
      <x:c r="E39" s="42" t="str">
        <x:v>dockit is closed, Calculator is added to the real Dock, and the saved active profile still has the prior layout.</x:v>
      </x:c>
      <x:c r="F39" s="42" t="str">
        <x:v>Reopen dockit and inspect the reconciliation sheet before choosing an outcome.</x:v>
      </x:c>
      <x:c r="G39" s="42" t="str">
        <x:v>dockit detects the difference, explains its scope, and offers Not Now, Apply Saved Dock, and Save Current Dock without silently overwriting a profile.</x:v>
      </x:c>
      <x:c r="H39" s="42" t="str">
        <x:v>The native sheet named the changed-while-closed state, explained pinned apps and spacers, and presented all three safe choices.</x:v>
      </x:c>
      <x:c r="I39" s="42" t="str">
        <x:v>Pass</x:v>
      </x:c>
      <x:c r="J39" s="42" t="str">
        <x:v>Pass</x:v>
      </x:c>
      <x:c r="K39" s="42" t="str">
        <x:v>Not applicable</x:v>
      </x:c>
      <x:c r="L39" s="42" t="str">
        <x:v>Not run</x:v>
      </x:c>
      <x:c r="M39" s="42" t="str"/>
      <x:c r="N39" s="42" t="str">
        <x:v>artifacts/ui/closed-app-reconciliation-sheet.jpeg</x:v>
      </x:c>
      <x:c r="O39" s="42" t="str"/>
      <x:c r="P39" s="42" t="str"/>
      <x:c r="Q39" s="42" t="str">
        <x:v>root</x:v>
      </x:c>
      <x:c r="R39" s="52" t="n">
        <x:v>46269.21672453704</x:v>
      </x:c>
      <x:c r="S39" s="42"/>
    </x:row>
    <x:row r="40">
      <x:c r="A40" s="42" t="str">
        <x:v>TR-RECONCILE-APPLY-001</x:v>
      </x:c>
      <x:c r="B40" s="42" t="str">
        <x:v>PRF-026</x:v>
      </x:c>
      <x:c r="C40" s="42" t="str">
        <x:v>Signed Debug 2026-09-04</x:v>
      </x:c>
      <x:c r="D40" s="42" t="str">
        <x:v>macOS 26.4.1, changed-while-closed sheet</x:v>
      </x:c>
      <x:c r="E40" s="42" t="str">
        <x:v>The actual Dock differs from the saved active profile and Apply Saved Dock is available.</x:v>
      </x:c>
      <x:c r="F40" s="42" t="str">
        <x:v>Choose Apply Saved Dock and inspect the Dock and status.</x:v>
      </x:c>
      <x:c r="G40" s="42" t="str">
        <x:v>dockit force-applies the saved profile even though its active profile ID already matches.</x:v>
      </x:c>
      <x:c r="H40" s="42" t="str">
        <x:v>dockit reported Current Dock is already active and skipped the needed reconciliation apply.</x:v>
      </x:c>
      <x:c r="I40" s="42" t="str">
        <x:v>Fail</x:v>
      </x:c>
      <x:c r="J40" s="42" t="str">
        <x:v>Pass</x:v>
      </x:c>
      <x:c r="K40" s="42" t="str">
        <x:v>Not run</x:v>
      </x:c>
      <x:c r="L40" s="42" t="str">
        <x:v>Not run</x:v>
      </x:c>
      <x:c r="M40" s="42" t="str"/>
      <x:c r="N40" s="42" t="str">
        <x:v>artifacts/ui/closed-app-apply-saved-result.jpeg</x:v>
      </x:c>
      <x:c r="O40" s="42" t="str"/>
      <x:c r="P40" s="42" t="str">
        <x:v>DEF-019</x:v>
      </x:c>
      <x:c r="Q40" s="42" t="str">
        <x:v>root</x:v>
      </x:c>
      <x:c r="R40" s="52" t="n">
        <x:v>46269.216944444444</x:v>
      </x:c>
      <x:c r="S40" s="42"/>
    </x:row>
    <x:row r="41">
      <x:c r="A41" s="42" t="str">
        <x:v>TR-RECONCILE-APPLY-002</x:v>
      </x:c>
      <x:c r="B41" s="42" t="str">
        <x:v>PRF-026</x:v>
      </x:c>
      <x:c r="C41" s="42" t="str">
        <x:v>Signed Debug 2026-09-04</x:v>
      </x:c>
      <x:c r="D41" s="42" t="str">
        <x:v>macOS 26.4.1, force-apply fix installed</x:v>
      </x:c>
      <x:c r="E41" s="42" t="str">
        <x:v>The actual Dock differs from the saved active profile and the reconciliation path requests forceApply.</x:v>
      </x:c>
      <x:c r="F41" s="42" t="str">
        <x:v>Choose Apply Saved Dock, wait for the Dock reload, and capture the result.</x:v>
      </x:c>
      <x:c r="G41" s="42" t="str">
        <x:v>The saved layout applies and reconciliation clears.</x:v>
      </x:c>
      <x:c r="H41" s="42" t="str">
        <x:v>The functional retest completed after the force-apply fix, but the saved screenshot is cropped and cannot visually prove the final state.</x:v>
      </x:c>
      <x:c r="I41" s="42" t="str">
        <x:v>Pass</x:v>
      </x:c>
      <x:c r="J41" s="42" t="str">
        <x:v>Blocked</x:v>
      </x:c>
      <x:c r="K41" s="42" t="str">
        <x:v>Not run</x:v>
      </x:c>
      <x:c r="L41" s="42" t="str">
        <x:v>Not run</x:v>
      </x:c>
      <x:c r="M41" s="42" t="str"/>
      <x:c r="N41" s="42" t="str">
        <x:v>artifacts/ui/closed-app-apply-saved-post-fix.jpeg</x:v>
      </x:c>
      <x:c r="O41" s="42" t="str"/>
      <x:c r="P41" s="42" t="str"/>
      <x:c r="Q41" s="42" t="str">
        <x:v>root</x:v>
      </x:c>
      <x:c r="R41" s="52" t="n">
        <x:v>46269.21797453704</x:v>
      </x:c>
      <x:c r="S41" s="42" t="str">
        <x:v>DEF-019 remains Fixed until a usable visual retest is recorded.</x:v>
      </x:c>
    </x:row>
    <x:row r="42">
      <x:c r="A42" s="42" t="str">
        <x:v>TR-RECONCILE-SAVE-001</x:v>
      </x:c>
      <x:c r="B42" s="42" t="str">
        <x:v>PRF-026, PRF-027</x:v>
      </x:c>
      <x:c r="C42" s="42" t="str">
        <x:v>Signed Debug 2026-09-04</x:v>
      </x:c>
      <x:c r="D42" s="42" t="str">
        <x:v>macOS 26.4.1, changed-while-closed sheet</x:v>
      </x:c>
      <x:c r="E42" s="42" t="str">
        <x:v>The real Dock contains Calculator and the saved active profile has the prior layout.</x:v>
      </x:c>
      <x:c r="F42" s="42" t="str">
        <x:v>Choose Save Current Dock, relaunch, inspect the saved items, then remove the fixture.</x:v>
      </x:c>
      <x:c r="G42" s="42" t="str">
        <x:v>Only the active profile adopts the current pinned layout and the reconciliation state clears.</x:v>
      </x:c>
      <x:c r="H42" s="42" t="str">
        <x:v>Current Dock retained Calculator, dockit reported Current Dock changes saved, and later cleanup restored the baseline.</x:v>
      </x:c>
      <x:c r="I42" s="42" t="str">
        <x:v>Pass</x:v>
      </x:c>
      <x:c r="J42" s="42" t="str">
        <x:v>Pass</x:v>
      </x:c>
      <x:c r="K42" s="42" t="str">
        <x:v>Not applicable</x:v>
      </x:c>
      <x:c r="L42" s="42" t="str">
        <x:v>Not run</x:v>
      </x:c>
      <x:c r="M42" s="42" t="str"/>
      <x:c r="N42" s="42" t="str">
        <x:v>artifacts/ui/closed-app-save-current-result.jpeg</x:v>
      </x:c>
      <x:c r="O42" s="42" t="str"/>
      <x:c r="P42" s="42" t="str"/>
      <x:c r="Q42" s="42" t="str">
        <x:v>root</x:v>
      </x:c>
      <x:c r="R42" s="52" t="n">
        <x:v>46269.21853009259</x:v>
      </x:c>
      <x:c r="S42" s="42"/>
    </x:row>
    <x:row r="43">
      <x:c r="A43" s="42" t="str">
        <x:v>TR-LIFECYCLE-001</x:v>
      </x:c>
      <x:c r="B43" s="42" t="str">
        <x:v>PRF-027</x:v>
      </x:c>
      <x:c r="C43" s="42" t="str">
        <x:v>Signed Debug 2026-09-04</x:v>
      </x:c>
      <x:c r="D43" s="42" t="str">
        <x:v>macOS 26.4.1, real local library</x:v>
      </x:c>
      <x:c r="E43" s="42" t="str">
        <x:v>Current Dock is active after the live editor sequence and its latest library state is on disk.</x:v>
      </x:c>
      <x:c r="F43" s="42" t="str">
        <x:v>Quit normally, relaunch, and inspect the active profile and reconciliation state.</x:v>
      </x:c>
      <x:c r="G43" s="42" t="str">
        <x:v>The saved library reloads with the active profile intact and without a false reconciliation prompt.</x:v>
      </x:c>
      <x:c r="H43" s="42" t="str">
        <x:v>Current Dock reopened active with its saved items and no false reconciliation prompt.</x:v>
      </x:c>
      <x:c r="I43" s="42" t="str">
        <x:v>Pass</x:v>
      </x:c>
      <x:c r="J43" s="42" t="str">
        <x:v>Pass</x:v>
      </x:c>
      <x:c r="K43" s="42" t="str">
        <x:v>Not applicable</x:v>
      </x:c>
      <x:c r="L43" s="42" t="str">
        <x:v>Not run</x:v>
      </x:c>
      <x:c r="M43" s="42" t="str"/>
      <x:c r="N43" s="42" t="str">
        <x:v>artifacts/ui/real-editor-reopen-no-false-reconcile.jpeg</x:v>
      </x:c>
      <x:c r="O43" s="42" t="str"/>
      <x:c r="P43" s="42" t="str"/>
      <x:c r="Q43" s="42" t="str">
        <x:v>root</x:v>
      </x:c>
      <x:c r="R43" s="52" t="n">
        <x:v>46269.2127662037</x:v>
      </x:c>
      <x:c r="S43" s="42" t="str">
        <x:v>This proves normal lifecycle persistence. Immediate quit inside the former debounce window still needs a recorded retest.</x:v>
      </x:c>
    </x:row>
    <x:row r="44">
      <x:c r="A44" s="42" t="str">
        <x:v>TR-FOCUS-REGISTRATION-001</x:v>
      </x:c>
      <x:c r="B44" s="42" t="str">
        <x:v>FOC-006, REL-005</x:v>
      </x:c>
      <x:c r="C44" s="42" t="str">
        <x:v>Signed Debug 2026-09-03</x:v>
      </x:c>
      <x:c r="D44" s="42" t="str">
        <x:v>macOS 26.4.1, ExtensionKit bundle</x:v>
      </x:c>
      <x:c r="E44" s="42" t="str">
        <x:v>DockitFocusExtension.appex is embedded under Contents/Extensions.</x:v>
      </x:c>
      <x:c r="F44" s="42" t="str">
        <x:v>Launch dockit and inspect its Focus availability check.</x:v>
      </x:c>
      <x:c r="G44" s="42" t="str">
        <x:v>The main app finds the embedded extension and enables the System Settings path.</x:v>
      </x:c>
      <x:c r="H44" s="42" t="str">
        <x:v>The first lookup checked only the traditional PlugIns location and could claim the valid ExtensionKit bundle was missing.</x:v>
      </x:c>
      <x:c r="I44" s="42" t="str">
        <x:v>Fail</x:v>
      </x:c>
      <x:c r="J44" s="42" t="str">
        <x:v>Not run</x:v>
      </x:c>
      <x:c r="K44" s="42" t="str">
        <x:v>Not applicable</x:v>
      </x:c>
      <x:c r="L44" s="42" t="str">
        <x:v>Not applicable</x:v>
      </x:c>
      <x:c r="M44" s="42" t="str"/>
      <x:c r="N44" s="42" t="str"/>
      <x:c r="O44" s="42" t="str"/>
      <x:c r="P44" s="42" t="str">
        <x:v>DEF-021</x:v>
      </x:c>
      <x:c r="Q44" s="42" t="str">
        <x:v>root</x:v>
      </x:c>
      <x:c r="R44" s="52" t="n">
        <x:v>46269.22222222222</x:v>
      </x:c>
      <x:c r="S44" s="42"/>
    </x:row>
    <x:row r="45">
      <x:c r="A45" s="42" t="str">
        <x:v>TR-FOCUS-REGISTRATION-002</x:v>
      </x:c>
      <x:c r="B45" s="42" t="str">
        <x:v>FOC-006, REL-005</x:v>
      </x:c>
      <x:c r="C45" s="42" t="str">
        <x:v>Signed Debug 2026-09-04</x:v>
      </x:c>
      <x:c r="D45" s="42" t="str">
        <x:v>macOS 26.4.1, ExtensionKit bundle</x:v>
      </x:c>
      <x:c r="E45" s="42" t="str">
        <x:v>The extension uses com.apple.appintents-extension, is embedded under Contents/Extensions, is sandboxed, and shares dockit's App Group.</x:v>
      </x:c>
      <x:c r="F45" s="42" t="str">
        <x:v>Build and launch dockit, inspect Focus settings, and open the native System Settings route.</x:v>
      </x:c>
      <x:c r="G45" s="42" t="str">
        <x:v>dockit recognizes the extension and explains that profile selection happens in System Settings.</x:v>
      </x:c>
      <x:c r="H45" s="42" t="str">
        <x:v>The app detected the extension and displayed Choose a Dock for each Focus in System Settings with an enabled Open Focus Settings action.</x:v>
      </x:c>
      <x:c r="I45" s="42" t="str">
        <x:v>Pass</x:v>
      </x:c>
      <x:c r="J45" s="42" t="str">
        <x:v>Pass</x:v>
      </x:c>
      <x:c r="K45" s="42" t="str">
        <x:v>Not applicable</x:v>
      </x:c>
      <x:c r="L45" s="42" t="str">
        <x:v>Not run</x:v>
      </x:c>
      <x:c r="M45" s="42" t="str"/>
      <x:c r="N45" s="42" t="str">
        <x:v>artifacts/ui/release-focus-settings-ready.jpeg</x:v>
      </x:c>
      <x:c r="O45" s="42" t="str"/>
      <x:c r="P45" s="42" t="str"/>
      <x:c r="Q45" s="42" t="str">
        <x:v>root</x:v>
      </x:c>
      <x:c r="R45" s="52" t="n">
        <x:v>46269.227800925924</x:v>
      </x:c>
      <x:c r="S45" s="42"/>
    </x:row>
    <x:row r="46">
      <x:c r="A46" s="42" t="str">
        <x:v>TR-FOCUS-ORDER-AUDIT-001</x:v>
      </x:c>
      <x:c r="B46" s="42" t="str">
        <x:v>FOC-003, FOC-004, FOC-005, REL-001</x:v>
      </x:c>
      <x:c r="C46" s="42" t="str">
        <x:v>Source audit 2026-09-04</x:v>
      </x:c>
      <x:c r="D46" s="42" t="str">
        <x:v>Focus App Intent bridge and main app monitor</x:v>
      </x:c>
      <x:c r="E46" s="42" t="str">
        <x:v>Several Focus events can arrive while a Dock apply is running, and one request file may be malformed.</x:v>
      </x:c>
      <x:c r="F46" s="42" t="str">
        <x:v>Trace event timestamps, active-profile timestamps, batch ordering, acknowledgement, and decode failure behavior.</x:v>
      </x:c>
      <x:c r="G46" s="42" t="str">
        <x:v>The newest real event wins and one damaged file cannot block valid requests.</x:v>
      </x:c>
      <x:c r="H46" s="42" t="str">
        <x:v>Apply completion time could make a later queued event appear stale, and one malformed request could fail the entire polling batch.</x:v>
      </x:c>
      <x:c r="I46" s="42" t="str">
        <x:v>Fail</x:v>
      </x:c>
      <x:c r="J46" s="42" t="str">
        <x:v>Not applicable</x:v>
      </x:c>
      <x:c r="K46" s="42" t="str">
        <x:v>Not applicable</x:v>
      </x:c>
      <x:c r="L46" s="42" t="str">
        <x:v>Not applicable</x:v>
      </x:c>
      <x:c r="M46" s="42" t="str"/>
      <x:c r="N46" s="42" t="str"/>
      <x:c r="O46" s="42" t="str"/>
      <x:c r="P46" s="42" t="str">
        <x:v>DEF-014, DEF-015</x:v>
      </x:c>
      <x:c r="Q46" s="42" t="str">
        <x:v>Codex</x:v>
      </x:c>
      <x:c r="R46" s="52" t="n">
        <x:v>46269.229166666664</x:v>
      </x:c>
      <x:c r="S46" s="42"/>
    </x:row>
    <x:row r="47">
      <x:c r="A47" s="42" t="str">
        <x:v>TR-FOCUS-CORE-001</x:v>
      </x:c>
      <x:c r="B47" s="42" t="str">
        <x:v>FOC-003, FOC-004, FOC-005, REL-001</x:v>
      </x:c>
      <x:c r="C47" s="42" t="str">
        <x:v>Swift 6.3.3, source 2026-09-04</x:v>
      </x:c>
      <x:c r="D47" s="42" t="str">
        <x:v>Swift Testing on macOS 26.4.1</x:v>
      </x:c>
      <x:c r="E47" s="42" t="str">
        <x:v>Timestamp ordering, Focus-off retention, concurrent request, and malformed request recovery tests are present.</x:v>
      </x:c>
      <x:c r="F47" s="42" t="str">
        <x:v>Run the complete 32-test core suite, including focusRequestOnlyOverridesAnOlderActivation, activationPersistsTheRequestTimeForFocusOrdering, and damagedFocusRequestDoesNotBlockAValidRequest.</x:v>
      </x:c>
      <x:c r="G47" s="42" t="str">
        <x:v>All Focus queue and recovery cases pass without dropping the newest request or poisoning later polling.</x:v>
      </x:c>
      <x:c r="H47" s="42" t="str">
        <x:v>All 32 core tests passed, including the three ordering and damage-isolation regressions.</x:v>
      </x:c>
      <x:c r="I47" s="42" t="str">
        <x:v>Pass</x:v>
      </x:c>
      <x:c r="J47" s="42" t="str">
        <x:v>Not applicable</x:v>
      </x:c>
      <x:c r="K47" s="42" t="str">
        <x:v>Not applicable</x:v>
      </x:c>
      <x:c r="L47" s="42" t="str">
        <x:v>Not applicable</x:v>
      </x:c>
      <x:c r="M47" s="42" t="str"/>
      <x:c r="N47" s="42" t="str"/>
      <x:c r="O47" s="42" t="str"/>
      <x:c r="P47" s="42" t="str"/>
      <x:c r="Q47" s="42" t="str">
        <x:v>Codex</x:v>
      </x:c>
      <x:c r="R47" s="52" t="n">
        <x:v>46269.25454537037</x:v>
      </x:c>
      <x:c r="S47" s="42" t="str">
        <x:v>DEF-014 and DEF-015 remain Fixed until the next durable regression artifact and full Focus sweep.</x:v>
      </x:c>
    </x:row>
    <x:row r="48">
      <x:c r="A48" s="42" t="str">
        <x:v>TR-FOCUS-CONFIG-001</x:v>
      </x:c>
      <x:c r="B48" s="42" t="str">
        <x:v>FOC-001</x:v>
      </x:c>
      <x:c r="C48" s="42" t="str">
        <x:v>Signed Debug 2026-09-04</x:v>
      </x:c>
      <x:c r="D48" s="42" t="str">
        <x:v>macOS 26.4.1 System Settings</x:v>
      </x:c>
      <x:c r="E48" s="42" t="str">
        <x:v>dockit publishes Current Dock, dockit Focus, and dockit Manual to the AppEntity query.</x:v>
      </x:c>
      <x:c r="F48" s="42" t="str">
        <x:v>Open the Focus filter profile picker and choose dockit Focus.</x:v>
      </x:c>
      <x:c r="G48" s="42" t="str">
        <x:v>Exactly one profile row is selected and the filter immediately resolves that stable profile ID.</x:v>
      </x:c>
      <x:c r="H48" s="42" t="str">
        <x:v>System Settings transiently showed checkmarks beside both Current Dock and dockit Focus and did not reliably resolve the first selection.</x:v>
      </x:c>
      <x:c r="I48" s="42" t="str">
        <x:v>Fail</x:v>
      </x:c>
      <x:c r="J48" s="42" t="str">
        <x:v>Fail</x:v>
      </x:c>
      <x:c r="K48" s="42" t="str">
        <x:v>Not applicable</x:v>
      </x:c>
      <x:c r="L48" s="42" t="str">
        <x:v>Not run</x:v>
      </x:c>
      <x:c r="M48" s="42" t="str"/>
      <x:c r="N48" s="42" t="str">
        <x:v>artifacts/ui/focus-profile-menu-debug.png</x:v>
      </x:c>
      <x:c r="O48" s="42" t="str"/>
      <x:c r="P48" s="42" t="str">
        <x:v>DEF-016</x:v>
      </x:c>
      <x:c r="Q48" s="42" t="str">
        <x:v>root</x:v>
      </x:c>
      <x:c r="R48" s="52" t="n">
        <x:v>46269.24012731481</x:v>
      </x:c>
      <x:c r="S48" s="42"/>
    </x:row>
    <x:row r="49">
      <x:c r="A49" s="42" t="str">
        <x:v>TR-FOCUS-CONFIG-002</x:v>
      </x:c>
      <x:c r="B49" s="42" t="str">
        <x:v>FOC-001</x:v>
      </x:c>
      <x:c r="C49" s="42" t="str">
        <x:v>Signed Debug 2026-09-04</x:v>
      </x:c>
      <x:c r="D49" s="42" t="str">
        <x:v>macOS 26.4.1 System Settings</x:v>
      </x:c>
      <x:c r="E49" s="42" t="str">
        <x:v>The same dockit Focus filter is open after retrying the profile selection.</x:v>
      </x:c>
      <x:c r="F49" s="42" t="str">
        <x:v>Select dockit Focus again, close the configuration sheet, and inspect the saved Focus filter summary.</x:v>
      </x:c>
      <x:c r="G49" s="42" t="str">
        <x:v>The Focus filter summary names dockit Focus Dock.</x:v>
      </x:c>
      <x:c r="H49" s="42" t="str">
        <x:v>The configured filter displayed Use dockit Focus Dock and remained enabled for this session.</x:v>
      </x:c>
      <x:c r="I49" s="42" t="str">
        <x:v>Pass</x:v>
      </x:c>
      <x:c r="J49" s="42" t="str">
        <x:v>Pass</x:v>
      </x:c>
      <x:c r="K49" s="42" t="str">
        <x:v>Not applicable</x:v>
      </x:c>
      <x:c r="L49" s="42" t="str">
        <x:v>Not run</x:v>
      </x:c>
      <x:c r="M49" s="42" t="str"/>
      <x:c r="N49" s="42" t="str">
        <x:v>artifacts/ui/focus-filter-configured.jpeg</x:v>
      </x:c>
      <x:c r="O49" s="42" t="str"/>
      <x:c r="P49" s="42" t="str"/>
      <x:c r="Q49" s="42" t="str">
        <x:v>root</x:v>
      </x:c>
      <x:c r="R49" s="52" t="n">
        <x:v>46269.24456018519</x:v>
      </x:c>
      <x:c r="S49" s="42" t="str">
        <x:v>The earlier double-selection failure remains an open reliability blocker despite this successful configuration.</x:v>
      </x:c>
    </x:row>
    <x:row r="50">
      <x:c r="A50" s="42" t="str">
        <x:v>TR-FOCUS-LIVE-001</x:v>
      </x:c>
      <x:c r="B50" s="42" t="str">
        <x:v>FOC-003, FOC-004, FOC-005</x:v>
      </x:c>
      <x:c r="C50" s="42" t="str">
        <x:v>Signed Debug 2026-09-04</x:v>
      </x:c>
      <x:c r="D50" s="42" t="str">
        <x:v>macOS 26.4.1, configured dockit Test Focus</x:v>
      </x:c>
      <x:c r="E50" s="42" t="str">
        <x:v>dockit Test maps to dockit Focus, and dockit Focus contains four apps and one regular spacer.</x:v>
      </x:c>
      <x:c r="F50" s="42" t="str">
        <x:v>Turn on dockit Test, inspect dockit, turn the Focus off, and inspect dockit again without a manual switch.</x:v>
      </x:c>
      <x:c r="G50" s="42" t="str">
        <x:v>Focus activation makes dockit Focus active through the normal apply path. Focus-off leaves that Dock in place.</x:v>
      </x:c>
      <x:c r="H50" s="42" t="str">
        <x:v>dockit Focus became Active from Focus with the expected saved items. Turning Focus off did not switch the active profile or remove its attribution.</x:v>
      </x:c>
      <x:c r="I50" s="42" t="str">
        <x:v>Pass</x:v>
      </x:c>
      <x:c r="J50" s="42" t="str">
        <x:v>Pass</x:v>
      </x:c>
      <x:c r="K50" s="42" t="str">
        <x:v>Not run</x:v>
      </x:c>
      <x:c r="L50" s="42" t="str">
        <x:v>Not run</x:v>
      </x:c>
      <x:c r="M50" s="42" t="str"/>
      <x:c r="N50" s="42" t="str">
        <x:v>artifacts/ui/focus-off-leaves-dock.jpeg</x:v>
      </x:c>
      <x:c r="O50" s="42" t="str"/>
      <x:c r="P50" s="42" t="str"/>
      <x:c r="Q50" s="42" t="str">
        <x:v>root</x:v>
      </x:c>
      <x:c r="R50" s="52" t="n">
        <x:v>46269.25141203704</x:v>
      </x:c>
      <x:c r="S50" s="42" t="str">
        <x:v>The screenshots prove profile and attribution state. A Focus-triggered full Dock preservation fixture remains.</x:v>
      </x:c>
    </x:row>
    <x:row r="51">
      <x:c r="A51" s="42" t="str">
        <x:v>TR-FOCUS-MANUAL-001</x:v>
      </x:c>
      <x:c r="B51" s="42" t="str">
        <x:v>FOC-003, FOC-004, FOC-005</x:v>
      </x:c>
      <x:c r="C51" s="42" t="str">
        <x:v>Signed Debug 2026-09-04</x:v>
      </x:c>
      <x:c r="D51" s="42" t="str">
        <x:v>macOS 26.4.1, configured dockit Test Focus</x:v>
      </x:c>
      <x:c r="E51" s="42" t="str">
        <x:v>dockit Focus was activated by Focus and dockit Manual is available.</x:v>
      </x:c>
      <x:c r="F51" s="42" t="str">
        <x:v>Choose dockit Manual, leave or end the current Focus, confirm the manual Dock stays, then trigger a later Focus activation cycle.</x:v>
      </x:c>
      <x:c r="G51" s="42" t="str">
        <x:v>The manual choice is labeled clearly and survives Focus-off. A later Focus activation may apply dockit Focus again.</x:v>
      </x:c>
      <x:c r="H51" s="42" t="str">
        <x:v>dockit Manual became Active Dock, survived Focus-off, and dockit Focus became Active from Focus on the later cycle.</x:v>
      </x:c>
      <x:c r="I51" s="42" t="str">
        <x:v>Pass</x:v>
      </x:c>
      <x:c r="J51" s="42" t="str">
        <x:v>Pass</x:v>
      </x:c>
      <x:c r="K51" s="42" t="str">
        <x:v>Not run</x:v>
      </x:c>
      <x:c r="L51" s="42" t="str">
        <x:v>Not run</x:v>
      </x:c>
      <x:c r="M51" s="42" t="str">
        <x:v>artifacts/ui/manual-override-while-focus-on.jpeg</x:v>
      </x:c>
      <x:c r="N51" s="42" t="str">
        <x:v>artifacts/ui/focus-reactivation-second-cycle.jpeg</x:v>
      </x:c>
      <x:c r="O51" s="42" t="str"/>
      <x:c r="P51" s="42" t="str"/>
      <x:c r="Q51" s="42" t="str">
        <x:v>root</x:v>
      </x:c>
      <x:c r="R51" s="52" t="n">
        <x:v>46269.25377314815</x:v>
      </x:c>
      <x:c r="S51" s="42"/>
    </x:row>
    <x:row r="52">
      <x:c r="A52" s="42" t="str">
        <x:v>TR-CORE-REGRESSION-004</x:v>
      </x:c>
      <x:c r="B52" s="42" t="str">
        <x:v>PRV-001, PRF-006, PRF-008, PRF-018, PRF-025, PRF-026, PRF-027, FOC-003, FOC-004, FOC-005, XFR-003, XFR-004, XFR-005, XFR-006, REL-001, REL-002</x:v>
      </x:c>
      <x:c r="C52" s="42" t="str">
        <x:v>Swift 6.3.3, source 2026-09-04 after Package.swift cleanup</x:v>
      </x:c>
      <x:c r="D52" s="42" t="str">
        <x:v>Swift Testing on macOS 26.4.1</x:v>
      </x:c>
      <x:c r="E52" s="42" t="str">
        <x:v>Package.swift excludes all non-Swift DockProbe support files and the current 32-test suite is present.</x:v>
      </x:c>
      <x:c r="F52" s="42" t="str">
        <x:v>Run the complete DockitCore test suite and save the full output.</x:v>
      </x:c>
      <x:c r="G52" s="42" t="str">
        <x:v>All 32 tests pass and Swift Package Manager emits no unhandled-file warning.</x:v>
      </x:c>
      <x:c r="H52" s="42" t="str">
        <x:v>All 32 tests passed in 0.117 seconds. The saved output contains no unhandled-file warning.</x:v>
      </x:c>
      <x:c r="I52" s="42" t="str">
        <x:v>Pass</x:v>
      </x:c>
      <x:c r="J52" s="42" t="str">
        <x:v>Not applicable</x:v>
      </x:c>
      <x:c r="K52" s="42" t="str">
        <x:v>Not applicable</x:v>
      </x:c>
      <x:c r="L52" s="42" t="str">
        <x:v>Not applicable</x:v>
      </x:c>
      <x:c r="M52" s="42" t="str"/>
      <x:c r="N52" s="42" t="str">
        <x:v>artifacts/core-tests-20260904.log</x:v>
      </x:c>
      <x:c r="O52" s="42" t="str"/>
      <x:c r="P52" s="42" t="str"/>
      <x:c r="Q52" s="42" t="str">
        <x:v>root</x:v>
      </x:c>
      <x:c r="R52" s="52" t="n">
        <x:v>46269.26326388889</x:v>
      </x:c>
      <x:c r="S52" s="42" t="str">
        <x:v>This durable log supersedes the unsaved task output from TR-CORE-REGRESSION-003. It is not the second complete product sweep.</x:v>
      </x:c>
    </x:row>
    <x:row r="53">
      <x:c r="A53" s="42" t="str">
        <x:v>TR-FOCUS-CLOSED-001</x:v>
      </x:c>
      <x:c r="B53" s="42" t="str">
        <x:v>FOC-003, REL-002</x:v>
      </x:c>
      <x:c r="C53" s="42" t="str">
        <x:v>Signed Debug 2026-09-04</x:v>
      </x:c>
      <x:c r="D53" s="42" t="str">
        <x:v>macOS 26.4.1, configured dockit Test Focus</x:v>
      </x:c>
      <x:c r="E53" s="42" t="str">
        <x:v>dockit is quit, the Focus filter maps to dockit Focus, and the shared request queue is available to the extension.</x:v>
      </x:c>
      <x:c r="F53" s="42" t="str">
        <x:v>Turn on the mapped Focus while dockit is quit, then launch dockit and inspect the resolved profile and attribution.</x:v>
      </x:c>
      <x:c r="G53" s="42" t="str">
        <x:v>The queued activation survives the closed-app interval and dockit applies the mapped profile after launch.</x:v>
      </x:c>
      <x:c r="H53" s="42" t="str">
        <x:v>dockit reopened with dockit Focus active, marked Active from Focus, and showing the mapped app and spacer sequence.</x:v>
      </x:c>
      <x:c r="I53" s="42" t="str">
        <x:v>Pass</x:v>
      </x:c>
      <x:c r="J53" s="42" t="str">
        <x:v>Pass</x:v>
      </x:c>
      <x:c r="K53" s="42" t="str">
        <x:v>Not run</x:v>
      </x:c>
      <x:c r="L53" s="42" t="str">
        <x:v>Not run</x:v>
      </x:c>
      <x:c r="M53" s="42" t="str"/>
      <x:c r="N53" s="42" t="str">
        <x:v>artifacts/ui/focus-queued-while-app-closed.jpeg</x:v>
      </x:c>
      <x:c r="O53" s="42" t="str"/>
      <x:c r="P53" s="42" t="str"/>
      <x:c r="Q53" s="42" t="str">
        <x:v>root</x:v>
      </x:c>
      <x:c r="R53" s="52" t="n">
        <x:v>46269.26215277778</x:v>
      </x:c>
      <x:c r="S53" s="42" t="str">
        <x:v>The endpoint is recorded. A continuous recording of the closed-app sequence remains for the full sweep.</x:v>
      </x:c>
    </x:row>
    <x:row r="54">
      <x:c r="A54" s="42" t="str">
        <x:v>TR-FOCUS-CLOSED-002</x:v>
      </x:c>
      <x:c r="B54" s="42" t="str">
        <x:v>FOC-004, FOC-005, REL-002</x:v>
      </x:c>
      <x:c r="C54" s="42" t="str">
        <x:v>Signed Debug 2026-09-04</x:v>
      </x:c>
      <x:c r="D54" s="42" t="str">
        <x:v>macOS 26.4.1, configured dockit Test Focus</x:v>
      </x:c>
      <x:c r="E54" s="42" t="str">
        <x:v>dockit Manual is active, dockit is quit, and a newer Focus-off event can be written to the shared queue.</x:v>
      </x:c>
      <x:c r="F54" s="42" t="str">
        <x:v>Queue the newer Focus-off state while dockit is quit, relaunch dockit, and inspect the active profile and persisted source.</x:v>
      </x:c>
      <x:c r="G54" s="42" t="str">
        <x:v>dockit acknowledges the newer Focus-off request without mutating the Dock, so the manual profile remains active.</x:v>
      </x:c>
      <x:c r="H54" s="42" t="str">
        <x:v>dockit reopened with dockit Manual still active. The local library retained a manual active source after the queued Focus-off event.</x:v>
      </x:c>
      <x:c r="I54" s="42" t="str">
        <x:v>Pass</x:v>
      </x:c>
      <x:c r="J54" s="42" t="str">
        <x:v>Pass</x:v>
      </x:c>
      <x:c r="K54" s="42" t="str">
        <x:v>Not run</x:v>
      </x:c>
      <x:c r="L54" s="42" t="str">
        <x:v>Not run</x:v>
      </x:c>
      <x:c r="M54" s="42" t="str"/>
      <x:c r="N54" s="42" t="str">
        <x:v>artifacts/ui/focus-off-queued-while-app-closed.jpeg</x:v>
      </x:c>
      <x:c r="O54" s="42" t="str"/>
      <x:c r="P54" s="42" t="str"/>
      <x:c r="Q54" s="42" t="str">
        <x:v>root</x:v>
      </x:c>
      <x:c r="R54" s="52" t="n">
        <x:v>46269.2684375</x:v>
      </x:c>
      <x:c r="S54" s="42" t="str">
        <x:v>The screenshot and persisted library record the endpoint. A continuous closed-app recording remains for the full sweep.</x:v>
      </x:c>
    </x:row>
    <x:row r="55">
      <x:c r="A55" s="42" t="str">
        <x:v>TR-FOCUS-RACE-001</x:v>
      </x:c>
      <x:c r="B55" s="42" t="str">
        <x:v>FOC-003, FOC-005, REL-001</x:v>
      </x:c>
      <x:c r="C55" s="42" t="str">
        <x:v>Signed Debug 2026-09-04</x:v>
      </x:c>
      <x:c r="D55" s="42" t="str">
        <x:v>macOS 26.4.1, configured dockit Test Focus</x:v>
      </x:c>
      <x:c r="E55" s="42" t="str">
        <x:v>A Focus activation and a manual Dock selection are issued close together.</x:v>
      </x:c>
      <x:c r="F55" s="42" t="str">
        <x:v>Trigger the Focus and manual actions near-simultaneously, then capture the settled active profile.</x:v>
      </x:c>
      <x:c r="G55" s="42" t="str">
        <x:v>The action with the later recorded event time wins and the final attribution matches that action.</x:v>
      </x:c>
      <x:c r="H55" s="42" t="str">
        <x:v>The final screenshot shows dockit Manual active, but the artifact does not record both event timestamps or the continuous action order.</x:v>
      </x:c>
      <x:c r="I55" s="42" t="str">
        <x:v>Blocked</x:v>
      </x:c>
      <x:c r="J55" s="42" t="str">
        <x:v>Pass</x:v>
      </x:c>
      <x:c r="K55" s="42" t="str">
        <x:v>Blocked</x:v>
      </x:c>
      <x:c r="L55" s="42" t="str">
        <x:v>Not run</x:v>
      </x:c>
      <x:c r="M55" s="42" t="str"/>
      <x:c r="N55" s="42" t="str">
        <x:v>artifacts/ui/focus-manual-race-later-manual-wins.jpeg</x:v>
      </x:c>
      <x:c r="O55" s="42" t="str"/>
      <x:c r="P55" s="42" t="str"/>
      <x:c r="Q55" s="42" t="str">
        <x:v>root</x:v>
      </x:c>
      <x:c r="R55" s="52" t="n">
        <x:v>46269.25549768518</x:v>
      </x:c>
      <x:c r="S55" s="42" t="str">
        <x:v>The endpoint is plausible but cannot prove that the later event won. Repeat with event timestamps and a continuous recording.</x:v>
      </x:c>
    </x:row>
    <x:row r="56">
      <x:c r="A56" s="42" t="str">
        <x:v>TR-FOCUS-QUERY-AB-001</x:v>
      </x:c>
      <x:c r="B56" s="42" t="str">
        <x:v>FOC-001</x:v>
      </x:c>
      <x:c r="C56" s="42" t="str">
        <x:v>Signed Debug 2026-09-04, suggested filters removed</x:v>
      </x:c>
      <x:c r="D56" s="42" t="str">
        <x:v>macOS 26.4.1 System Settings</x:v>
      </x:c>
      <x:c r="E56" s="42" t="str">
        <x:v>DockProfileEntity still uses EnumerableEntityQuery, but DockFocusFilterIntent does not publish suggestedFocusFilters.</x:v>
      </x:c>
      <x:c r="F56" s="42" t="str">
        <x:v>Install the A build, open the Focus filter picker, and select a different Dock profile once.</x:v>
      </x:c>
      <x:c r="G56" s="42" t="str">
        <x:v>Removing suggestions prevents the stale first selection and leaves exactly one checked profile.</x:v>
      </x:c>
      <x:c r="H56" s="42" t="str">
        <x:v>The first selection still did not refresh reliably. Removing suggestedFocusFilters did not fix the double-selection behavior.</x:v>
      </x:c>
      <x:c r="I56" s="42" t="str">
        <x:v>Fail</x:v>
      </x:c>
      <x:c r="J56" s="42" t="str">
        <x:v>Fail</x:v>
      </x:c>
      <x:c r="K56" s="42" t="str">
        <x:v>Not applicable</x:v>
      </x:c>
      <x:c r="L56" s="42" t="str">
        <x:v>Not run</x:v>
      </x:c>
      <x:c r="M56" s="42" t="str"/>
      <x:c r="N56" s="42" t="str"/>
      <x:c r="O56" s="42" t="str"/>
      <x:c r="P56" s="42" t="str">
        <x:v>DEF-016</x:v>
      </x:c>
      <x:c r="Q56" s="42" t="str">
        <x:v>root</x:v>
      </x:c>
      <x:c r="R56" s="52" t="n">
        <x:v>46269.27222222222</x:v>
      </x:c>
      <x:c r="S56" s="42" t="str">
        <x:v>No durable screenshot was captured for this A/B attempt.</x:v>
      </x:c>
    </x:row>
    <x:row r="57">
      <x:c r="A57" s="42" t="str">
        <x:v>TR-FOCUS-QUERY-AB-002</x:v>
      </x:c>
      <x:c r="B57" s="42" t="str">
        <x:v>FOC-001</x:v>
      </x:c>
      <x:c r="C57" s="42" t="str">
        <x:v>Signed Debug 2026-09-04, plain EntityQuery</x:v>
      </x:c>
      <x:c r="D57" s="42" t="str">
        <x:v>macOS 26.4.1 System Settings</x:v>
      </x:c>
      <x:c r="E57" s="42" t="str">
        <x:v>DockProfileEntity uses a plain EntityQuery without allEntities support.</x:v>
      </x:c>
      <x:c r="F57" s="42" t="str">
        <x:v>Install the B build and open the Focus filter profile picker.</x:v>
      </x:c>
      <x:c r="G57" s="42" t="str">
        <x:v>The picker lists the current Dock profiles and resolves one selection immediately.</x:v>
      </x:c>
      <x:c r="H57" s="42" t="str">
        <x:v>The picker was blank and unusable, so plain EntityQuery was rejected and EnumerableEntityQuery was restored.</x:v>
      </x:c>
      <x:c r="I57" s="42" t="str">
        <x:v>Fail</x:v>
      </x:c>
      <x:c r="J57" s="42" t="str">
        <x:v>Fail</x:v>
      </x:c>
      <x:c r="K57" s="42" t="str">
        <x:v>Not applicable</x:v>
      </x:c>
      <x:c r="L57" s="42" t="str">
        <x:v>Not run</x:v>
      </x:c>
      <x:c r="M57" s="42" t="str"/>
      <x:c r="N57" s="42" t="str"/>
      <x:c r="O57" s="42" t="str"/>
      <x:c r="P57" s="42" t="str">
        <x:v>DEF-016</x:v>
      </x:c>
      <x:c r="Q57" s="42" t="str">
        <x:v>root</x:v>
      </x:c>
      <x:c r="R57" s="52" t="n">
        <x:v>46269.27326388889</x:v>
      </x:c>
      <x:c r="S57" s="42" t="str">
        <x:v>No durable screenshot was captured for this A/B attempt. The current source retains EnumerableEntityQuery.</x:v>
      </x:c>
    </x:row>
    <x:row r="58">
      <x:c r="A58" s="42" t="str">
        <x:v>TR-WINDOW-REOPEN-001</x:v>
      </x:c>
      <x:c r="B58" s="42" t="str">
        <x:v>MEN-003</x:v>
      </x:c>
      <x:c r="C58" s="42" t="str">
        <x:v>Signed Debug 2026-09-04 before reopen fix</x:v>
      </x:c>
      <x:c r="D58" s="42" t="str">
        <x:v>macOS 26.4.1 with the Settings window visible</x:v>
      </x:c>
      <x:c r="E58" s="42" t="str">
        <x:v>The management window is closed while dockit's Settings window remains visible.</x:v>
      </x:c>
      <x:c r="F58" s="42" t="str">
        <x:v>Click dockit's Dock icon to reopen the app.</x:v>
      </x:c>
      <x:c r="G58" s="42" t="str">
        <x:v>dockit creates or raises the management window even though Settings is already visible.</x:v>
      </x:c>
      <x:c r="H58" s="42" t="str">
        <x:v>The management window did not reopen because the delegate treated any visible window, including Settings, as sufficient.</x:v>
      </x:c>
      <x:c r="I58" s="42" t="str">
        <x:v>Fail</x:v>
      </x:c>
      <x:c r="J58" s="42" t="str">
        <x:v>Not run</x:v>
      </x:c>
      <x:c r="K58" s="42" t="str">
        <x:v>Not applicable</x:v>
      </x:c>
      <x:c r="L58" s="42" t="str">
        <x:v>Not run</x:v>
      </x:c>
      <x:c r="M58" s="42" t="str"/>
      <x:c r="N58" s="42" t="str"/>
      <x:c r="O58" s="42" t="str"/>
      <x:c r="P58" s="42" t="str">
        <x:v>DEF-022</x:v>
      </x:c>
      <x:c r="Q58" s="42" t="str">
        <x:v>root</x:v>
      </x:c>
      <x:c r="R58" s="52" t="n">
        <x:v>46269.26597222222</x:v>
      </x:c>
      <x:c r="S58" s="42" t="str">
        <x:v>The source now always requests the management WindowGroup from applicationShouldHandleReopen. An installed runtime retest is still required.</x:v>
      </x:c>
    </x:row>
    <x:row r="59">
      <x:c r="A59" s="42" t="str">
        <x:v>TR-ICON-REDESIGN-01</x:v>
      </x:c>
      <x:c r="B59" s="42" t="str">
        <x:v>UX-002</x:v>
      </x:c>
      <x:c r="C59" s="42" t="str">
        <x:v>working tree 2026-09-04</x:v>
      </x:c>
      <x:c r="D59" s="42" t="str">
        <x:v>macOS 26.0, generated asset review</x:v>
      </x:c>
      <x:c r="E59" s="42" t="str">
        <x:v>Two original app icon concepts generated from approved references. First outline menu template rendered at true size.</x:v>
      </x:c>
      <x:c r="F59" s="42" t="str">
        <x:v>Compare concepts, select one, render 16 through 256 pixel contexts, then render the first menu bar template at 18 points.</x:v>
      </x:c>
      <x:c r="G59" s="42" t="str">
        <x:v>App icon remains recognizable and the menu template shows the dockling silhouette in light and dark appearances.</x:v>
      </x:c>
      <x:c r="H59" s="42" t="str">
        <x:v>The second app concept remained recognizable. The first menu template collapsed to the eye marks at true size.</x:v>
      </x:c>
      <x:c r="I59" s="42" t="str">
        <x:v>Pass</x:v>
      </x:c>
      <x:c r="J59" s="42" t="str">
        <x:v>Fail</x:v>
      </x:c>
      <x:c r="K59" s="42" t="str">
        <x:v>Not applicable</x:v>
      </x:c>
      <x:c r="L59" s="42" t="str">
        <x:v>Not run</x:v>
      </x:c>
      <x:c r="M59" s="42" t="str">
        <x:v>artifacts/ui/menu-bar-icon-rejected.png</x:v>
      </x:c>
      <x:c r="N59" s="42" t="str">
        <x:v>artifacts/ui/icon-size-review.png</x:v>
      </x:c>
      <x:c r="O59" s="42" t="str"/>
      <x:c r="P59" s="42" t="str">
        <x:v>DEF-028</x:v>
      </x:c>
      <x:c r="Q59" s="42" t="str">
        <x:v>root</x:v>
      </x:c>
      <x:c r="R59" s="52" t="n">
        <x:v>46269.7072340625</x:v>
      </x:c>
      <x:c r="S59" s="42" t="str">
        <x:v>The failed menu asset was not retained in source.</x:v>
      </x:c>
    </x:row>
    <x:row r="60">
      <x:c r="A60" s="42" t="str">
        <x:v>TR-ICON-REDESIGN-02</x:v>
      </x:c>
      <x:c r="B60" s="42" t="str">
        <x:v>UX-002</x:v>
      </x:c>
      <x:c r="C60" s="42" t="str">
        <x:v>working tree 2026-09-04</x:v>
      </x:c>
      <x:c r="D60" s="42" t="str">
        <x:v>macOS 26.0, generated asset review</x:v>
      </x:c>
      <x:c r="E60" s="42" t="str">
        <x:v>Selected app icon master and revised filled menu template exist.</x:v>
      </x:c>
      <x:c r="F60" s="42" t="str">
        <x:v>Render the app icon at 16, 32, 64, 128, and 256 pixels on light and dark surfaces. Render the revised menu template at 18 points in light and dark contexts.</x:v>
      </x:c>
      <x:c r="G60" s="42" t="str">
        <x:v>Both icon systems retain a clear silhouette, accessible contrast, and a shared identity at true sizes.</x:v>
      </x:c>
      <x:c r="H60" s="42" t="str">
        <x:v>The app icon remains recognizable through 16 pixels. The revised menu icon retains the head, eyes, tray, and spacer notch in both appearances.</x:v>
      </x:c>
      <x:c r="I60" s="42" t="str">
        <x:v>Pass</x:v>
      </x:c>
      <x:c r="J60" s="42" t="str">
        <x:v>Pass</x:v>
      </x:c>
      <x:c r="K60" s="42" t="str">
        <x:v>Not applicable</x:v>
      </x:c>
      <x:c r="L60" s="42" t="str">
        <x:v>Not run</x:v>
      </x:c>
      <x:c r="M60" s="42" t="str">
        <x:v>artifacts/ui/menu-bar-icon-rejected.png</x:v>
      </x:c>
      <x:c r="N60" s="42" t="str">
        <x:v>artifacts/ui/menu-bar-icon-review.png</x:v>
      </x:c>
      <x:c r="O60" s="42" t="str"/>
      <x:c r="P60" s="42" t="str"/>
      <x:c r="Q60" s="42" t="str">
        <x:v>root</x:v>
      </x:c>
      <x:c r="R60" s="52" t="n">
        <x:v>46269.7072341088</x:v>
      </x:c>
      <x:c r="S60" s="42"/>
    </x:row>
    <x:row r="61">
      <x:c r="A61" s="42" t="str">
        <x:v>TR-CODE-REDESIGN-AUDIT-001</x:v>
      </x:c>
      <x:c r="B61" s="42" t="str">
        <x:v>PRV-001, PRF-001, PRF-010, PRF-018, PRF-023, PRF-030, PRF-033, MEN-001, MEN-007, REL-006, REL-008, LED-001</x:v>
      </x:c>
      <x:c r="C61" s="42" t="str">
        <x:v>pre-fix source review and source 2026-09-04</x:v>
      </x:c>
      <x:c r="D61" s="42" t="str">
        <x:v>Static source review on macOS 26.4.1. No app launch, Focus event, motion recording, or real Dock mutation.</x:v>
      </x:c>
      <x:c r="E61" s="42" t="str">
        <x:v>The approved saved-versus-applied model, exact one-page layout direction, and canonical ledger were available for comparison.</x:v>
      </x:c>
      <x:c r="F61" s="42" t="str">
        <x:v>Trace the same-active path, editor writes, demo persistence, monitor conflicts, unavailable-item reconciliation, first capture, menu enablement, activation selection cleanup, and existing-story update path.</x:v>
      </x:c>
      <x:c r="G61" s="42" t="str">
        <x:v>Each path preserves saved data, requires explicit apply, keeps enabled state synchronized, and records revised definitions without losing history.</x:v>
      </x:c>
      <x:c r="H61" s="42" t="str">
        <x:v>The review identified nine old-code defects. Current source contains bounded corrections. Only core and ledger corrections have automated evidence in this update.</x:v>
      </x:c>
      <x:c r="I61" s="42" t="str">
        <x:v>Fail</x:v>
      </x:c>
      <x:c r="J61" s="42" t="str">
        <x:v>Not run</x:v>
      </x:c>
      <x:c r="K61" s="42" t="str">
        <x:v>Not run</x:v>
      </x:c>
      <x:c r="L61" s="42" t="str">
        <x:v>Not run</x:v>
      </x:c>
      <x:c r="M61" s="42" t="str"/>
      <x:c r="N61" s="42" t="str"/>
      <x:c r="O61" s="42" t="str"/>
      <x:c r="P61" s="42" t="str">
        <x:v>DEF-019, DEF-029, DEF-030, DEF-031, DEF-032, DEF-033, DEF-034, DEF-035, DEF-036</x:v>
      </x:c>
      <x:c r="Q61" s="42" t="str">
        <x:v>root and blackout_benchmark_resume</x:v>
      </x:c>
      <x:c r="R61" s="52" t="n">
        <x:v>46269.84722222222</x:v>
      </x:c>
      <x:c r="S61" s="42" t="str">
        <x:v>This is a static source audit and historical defect record, not runtime proof. UI, motion, live Focus, and real Dock behavior remain unverified.</x:v>
      </x:c>
    </x:row>
    <x:row r="62">
      <x:c r="A62" s="42" t="str">
        <x:v>TR-CORE-V2-001</x:v>
      </x:c>
      <x:c r="B62" s="42" t="str">
        <x:v>PRV-001, PRF-006, PRF-008, PRF-020, PRF-022, PRF-024, PRF-025, PRF-029, PRF-031, PRF-032, PRF-033, PRF-034, FOC-003, FOC-004, FOC-005, XFR-003, XFR-004, XFR-005, XFR-006, REL-001, REL-002, REL-006, REL-007, REL-008, MOT-004</x:v>
      </x:c>
      <x:c r="C62" s="42" t="str">
        <x:v>Swift 6.3.3, source 2026-09-04 saved/applied redesign</x:v>
      </x:c>
      <x:c r="D62" s="42" t="str">
        <x:v>SwiftPM on macOS 26.4.1 with isolated scratch at /Users/advegaf/Library/Caches/com.advegaf.dockit/core-redesign-tests.</x:v>
      </x:c>
      <x:c r="E62" s="42" t="str">
        <x:v>Tests use temporary local libraries, in-memory Dock fixtures, and injected reloaders. The real Dock is not read or changed.</x:v>
      </x:c>
      <x:c r="F62" s="42" t="str">
        <x:v>Run the complete DockitCore suite and retain full output under artifacts/ledger.</x:v>
      </x:c>
      <x:c r="G62" s="42" t="str">
        <x:v>All 75 Swift Testing checks and 8 XCTest ordered-edit and reconciliation checks pass with zero failures.</x:v>
      </x:c>
      <x:c r="H62" s="42" t="str">
        <x:v>All 83 checks passed. Swift Testing reported 75 passes and XCTest reported 8 passes, with zero failures.</x:v>
      </x:c>
      <x:c r="I62" s="42" t="str">
        <x:v>Pass</x:v>
      </x:c>
      <x:c r="J62" s="42" t="str">
        <x:v>Not applicable</x:v>
      </x:c>
      <x:c r="K62" s="42" t="str">
        <x:v>Not applicable</x:v>
      </x:c>
      <x:c r="L62" s="42" t="str">
        <x:v>Not applicable</x:v>
      </x:c>
      <x:c r="M62" s="42" t="str"/>
      <x:c r="N62" s="42" t="str"/>
      <x:c r="O62" s="42" t="str"/>
      <x:c r="P62" s="42" t="str"/>
      <x:c r="Q62" s="42" t="str">
        <x:v>blackout_benchmark_resume</x:v>
      </x:c>
      <x:c r="R62" s="52" t="n">
        <x:v>46269.85613425926</x:v>
      </x:c>
      <x:c r="S62" s="42" t="str">
        <x:v>Automated core evidence only. It does not verify the app UI, motion, live Focus behavior, or a real Dock switch.</x:v>
      </x:c>
    </x:row>
    <x:row r="63">
      <x:c r="A63" s="42" t="str">
        <x:v>TR-LEDGER-TOOL-001</x:v>
      </x:c>
      <x:c r="B63" s="42" t="str">
        <x:v>LED-001</x:v>
      </x:c>
      <x:c r="C63" s="42" t="str">
        <x:v>Node test runner, source 2026-09-04</x:v>
      </x:c>
      <x:c r="D63" s="42" t="str">
        <x:v>Bundled spreadsheet runtime on macOS 26.4.1.</x:v>
      </x:c>
      <x:c r="E63" s="42" t="str">
        <x:v>The regression seeds an existing story with delivery, verdict, run, evidence, and defect history before changing its definition.</x:v>
      </x:c>
      <x:c r="F63" s="42" t="str">
        <x:v>Run Tools/FeatureLedgerTests.mjs, including definition-revision and execution-decision-audit regressions.</x:v>
      </x:c>
      <x:c r="G63" s="42" t="str">
        <x:v>All ledger tests pass. Revised definitions retain history, and execution decisions append below skill routes without overwriting them.</x:v>
      </x:c>
      <x:c r="H63" s="42" t="str">
        <x:v>All 14 tests passed with zero failures.</x:v>
      </x:c>
      <x:c r="I63" s="42" t="str">
        <x:v>Pass</x:v>
      </x:c>
      <x:c r="J63" s="42" t="str">
        <x:v>Not applicable</x:v>
      </x:c>
      <x:c r="K63" s="42" t="str">
        <x:v>Not applicable</x:v>
      </x:c>
      <x:c r="L63" s="42" t="str">
        <x:v>Not applicable</x:v>
      </x:c>
      <x:c r="M63" s="42" t="str"/>
      <x:c r="N63" s="42" t="str"/>
      <x:c r="O63" s="42" t="str"/>
      <x:c r="P63" s="42" t="str"/>
      <x:c r="Q63" s="42" t="str">
        <x:v>blackout_benchmark_resume</x:v>
      </x:c>
      <x:c r="R63" s="52" t="n">
        <x:v>46269.85648148148</x:v>
      </x:c>
      <x:c r="S63" s="42" t="str">
        <x:v>This validates ledger mechanics only. Product UI and runtime behavior are outside its scope.</x:v>
      </x:c>
    </x:row>
    <x:row r="64">
      <x:c r="A64" s="42" t="str">
        <x:v>TR-APP-MODEL-RED-001</x:v>
      </x:c>
      <x:c r="B64" s="42" t="str">
        <x:v>PRF-024, PRF-026, XFR-006, REL-001, REL-002, REL-006, REL-008</x:v>
      </x:c>
      <x:c r="C64" s="42" t="str">
        <x:v>hosted app model before five root-cause fixes, 2026-09-04</x:v>
      </x:c>
      <x:c r="D64" s="42" t="str">
        <x:v>macOS 26.4.1 under DOCKIT_DEMO=1 with integratesWithSystem=false, temporary stores, mock preferences, and mock reloaders.</x:v>
      </x:c>
      <x:c r="E64" s="42" t="str">
        <x:v>The five regression cases were written against the old AppModel behavior before the corresponding fixes.</x:v>
      </x:c>
      <x:c r="F64" s="42" t="str">
        <x:v>Run DockitAppTests through the hosted macOS test target and retain the result summary and bundle.</x:v>
      </x:c>
      <x:c r="G64" s="42" t="str">
        <x:v>Each new regression fails for its observed old-code cause while the five existing checks remain green.</x:v>
      </x:c>
      <x:c r="H64" s="42" t="str">
        <x:v>Ten tests ran. Five passed and five failed, reproducing startup recovery metadata promotion, unavailable-app apply blocking, interrupted keep-current overwrite, changed-while-closed data loss, and autosave retry loss.</x:v>
      </x:c>
      <x:c r="I64" s="42" t="str">
        <x:v>Fail</x:v>
      </x:c>
      <x:c r="J64" s="42" t="str">
        <x:v>Not applicable</x:v>
      </x:c>
      <x:c r="K64" s="42" t="str">
        <x:v>Not applicable</x:v>
      </x:c>
      <x:c r="L64" s="42" t="str">
        <x:v>Not applicable</x:v>
      </x:c>
      <x:c r="M64" s="42" t="str"/>
      <x:c r="N64" s="42" t="str"/>
      <x:c r="O64" s="42" t="str"/>
      <x:c r="P64" s="42" t="str">
        <x:v>DEF-037, DEF-038, DEF-039, DEF-040, DEF-041</x:v>
      </x:c>
      <x:c r="Q64" s="42" t="str">
        <x:v>settings_lowercase</x:v>
      </x:c>
      <x:c r="R64" s="52" t="n">
        <x:v>46269.86599537037</x:v>
      </x:c>
      <x:c r="S64" s="42" t="str">
        <x:v>This is intentional red model evidence. It does not use the real Dock or prove visible UI behavior.</x:v>
      </x:c>
    </x:row>
    <x:row r="65">
      <x:c r="A65" s="42" t="str">
        <x:v>TR-APP-MODEL-GREEN-001</x:v>
      </x:c>
      <x:c r="B65" s="42" t="str">
        <x:v>PRF-009, PRF-010, PRF-024, PRF-025, PRF-026, PRF-030, PRF-031, PRF-032, PRF-033, XFR-006, REL-001, REL-002, REL-006, REL-008</x:v>
      </x:c>
      <x:c r="C65" s="42" t="str">
        <x:v>hosted app model after five root-cause fixes, 2026-09-04</x:v>
      </x:c>
      <x:c r="D65" s="42" t="str">
        <x:v>macOS 26.4.1 under DOCKIT_DEMO=1 with integratesWithSystem=false, temporary stores, mock preferences, and mock reloaders.</x:v>
      </x:c>
      <x:c r="E65" s="42" t="str">
        <x:v>The five red regressions and nine saved, applied, queue, rollback, selection, and reconciliation checks were present.</x:v>
      </x:c>
      <x:c r="F65" s="42" t="str">
        <x:v>Run the same 14-test hosted suite twice without source changes and retain both result bundles.</x:v>
      </x:c>
      <x:c r="G65" s="42" t="str">
        <x:v>All 14 tests pass twice with zero failures and zero skips.</x:v>
      </x:c>
      <x:c r="H65" s="42" t="str">
        <x:v>Both unchanged sweeps passed 14 of 14 tests with zero failures and zero skips.</x:v>
      </x:c>
      <x:c r="I65" s="42" t="str">
        <x:v>Pass</x:v>
      </x:c>
      <x:c r="J65" s="42" t="str">
        <x:v>Not applicable</x:v>
      </x:c>
      <x:c r="K65" s="42" t="str">
        <x:v>Not applicable</x:v>
      </x:c>
      <x:c r="L65" s="42" t="str">
        <x:v>Not applicable</x:v>
      </x:c>
      <x:c r="M65" s="42" t="str"/>
      <x:c r="N65" s="42" t="str"/>
      <x:c r="O65" s="42" t="str"/>
      <x:c r="P65" s="42" t="str">
        <x:v>DEF-037, DEF-038, DEF-039, DEF-040, DEF-041, DEF-049</x:v>
      </x:c>
      <x:c r="Q65" s="42" t="str">
        <x:v>settings_lowercase</x:v>
      </x:c>
      <x:c r="R65" s="52" t="n">
        <x:v>46269.8680787037</x:v>
      </x:c>
      <x:c r="S65" s="42" t="str">
        <x:v>These are isolated model verdicts. Live Dock switching, native presentation, and live Focus are outside this run.</x:v>
      </x:c>
    </x:row>
    <x:row r="66">
      <x:c r="A66" s="42" t="str">
        <x:v>TR-FOCUS-MODEL-RED-001</x:v>
      </x:c>
      <x:c r="B66" s="42" t="str">
        <x:v>PRF-009, PRF-010, PRF-025, PRF-026, PRF-032, PRF-033, FOC-003, FOC-005, REL-001, REL-002, REL-006</x:v>
      </x:c>
      <x:c r="C66" s="42" t="str">
        <x:v>hosted app model before Focus queue fixes, 2026-09-04</x:v>
      </x:c>
      <x:c r="D66" s="42" t="str">
        <x:v>macOS 26.4.1 with the real in-process Focus request processor, an isolated FocusBridgeStore, mock Dock services, and no real Focus activation.</x:v>
      </x:c>
      <x:c r="E66" s="42" t="str">
        <x:v>Fourteen prior app-model checks were green and three Focus processor or recovery cases were added.</x:v>
      </x:c>
      <x:c r="F66" s="42" t="str">
        <x:v>Run the 17-test hosted target and retain the result bundle and exported summary.</x:v>
      </x:c>
      <x:c r="G66" s="42" t="str">
        <x:v>The new cases expose whether Focus processing blocks safe inspection or newer requests and whether reviewed recovery state is request-scoped.</x:v>
      </x:c>
      <x:c r="H66" s="42" t="str">
        <x:v>Fourteen tests passed and three failed. The shared mutation lock blocked inspection and a newer manual request, so one snapshot-isolation path could not reach its second activation.</x:v>
      </x:c>
      <x:c r="I66" s="42" t="str">
        <x:v>Fail</x:v>
      </x:c>
      <x:c r="J66" s="42" t="str">
        <x:v>Not applicable</x:v>
      </x:c>
      <x:c r="K66" s="42" t="str">
        <x:v>Not applicable</x:v>
      </x:c>
      <x:c r="L66" s="42" t="str">
        <x:v>Not applicable</x:v>
      </x:c>
      <x:c r="M66" s="42" t="str"/>
      <x:c r="N66" s="42" t="str"/>
      <x:c r="O66" s="42" t="str"/>
      <x:c r="P66" s="42" t="str">
        <x:v>DEF-042, DEF-043</x:v>
      </x:c>
      <x:c r="Q66" s="42" t="str">
        <x:v>settings_lowercase</x:v>
      </x:c>
      <x:c r="R66" s="52" t="n">
        <x:v>46269.87013888889</x:v>
      </x:c>
      <x:c r="S66" s="42" t="str">
        <x:v>This is model evidence for the request processor only. It is not a live macOS Focus test.</x:v>
      </x:c>
    </x:row>
    <x:row r="67">
      <x:c r="A67" s="42" t="str">
        <x:v>TR-FOCUS-GUARD-RED-001</x:v>
      </x:c>
      <x:c r="B67" s="42" t="str">
        <x:v>PRF-025, PRF-026, PRF-032, FOC-003, FOC-005, REL-001, REL-002, REL-006</x:v>
      </x:c>
      <x:c r="C67" s="42" t="str">
        <x:v>hosted app model after Focus guard correction but before request-scoped snapshot correction, 2026-09-04</x:v>
      </x:c>
      <x:c r="D67" s="42" t="str">
        <x:v>macOS 26.4.1 with the in-process Focus request processor, isolated FocusBridgeStore, and mock Dock services.</x:v>
      </x:c>
      <x:c r="E67" s="42" t="str">
        <x:v>The broad processor lock was corrected while reconciliation approval was still shared state.</x:v>
      </x:c>
      <x:c r="F67" s="42" t="str">
        <x:v>Run all 17 tests and inspect the one remaining failure after the queued manual transaction is allowed to proceed.</x:v>
      </x:c>
      <x:c r="G67" s="42" t="str">
        <x:v>The guard cases pass and the independent recovery case isolates any remaining approval-state leak.</x:v>
      </x:c>
      <x:c r="H67" s="42" t="str">
        <x:v>Sixteen tests passed and one failed. The failure isolated a reviewed reconciliation snapshot leaking into a later queued manual apply.</x:v>
      </x:c>
      <x:c r="I67" s="42" t="str">
        <x:v>Fail</x:v>
      </x:c>
      <x:c r="J67" s="42" t="str">
        <x:v>Not applicable</x:v>
      </x:c>
      <x:c r="K67" s="42" t="str">
        <x:v>Not applicable</x:v>
      </x:c>
      <x:c r="L67" s="42" t="str">
        <x:v>Not applicable</x:v>
      </x:c>
      <x:c r="M67" s="42" t="str"/>
      <x:c r="N67" s="42" t="str"/>
      <x:c r="O67" s="42" t="str"/>
      <x:c r="P67" s="42" t="str">
        <x:v>DEF-043</x:v>
      </x:c>
      <x:c r="Q67" s="42" t="str">
        <x:v>settings_lowercase</x:v>
      </x:c>
      <x:c r="R67" s="52" t="n">
        <x:v>46269.870833333334</x:v>
      </x:c>
      <x:c r="S67" s="42" t="str">
        <x:v>This intermediate red run separates the request-scoping defect from the fixed inspection guard.</x:v>
      </x:c>
    </x:row>
    <x:row r="68">
      <x:c r="A68" s="42" t="str">
        <x:v>TR-FOCUS-MODEL-GREEN-001</x:v>
      </x:c>
      <x:c r="B68" s="42" t="str">
        <x:v>PRF-009, PRF-010, PRF-025, PRF-026, PRF-032, PRF-033, FOC-003, FOC-005, REL-001, REL-002, REL-006</x:v>
      </x:c>
      <x:c r="C68" s="42" t="str">
        <x:v>hosted app model after Focus queue and request-scoping fixes, 2026-09-04</x:v>
      </x:c>
      <x:c r="D68" s="42" t="str">
        <x:v>macOS 26.4.1 with the real in-process Focus request processor, isolated FocusBridgeStore, mock Dock services, and no real Focus activation.</x:v>
      </x:c>
      <x:c r="E68" s="42" t="str">
        <x:v>Inspection and activation guards allow safe state changes while item mutation stays frozen, and reviewed reconciliation snapshots live on each queued request.</x:v>
      </x:c>
      <x:c r="F68" s="42" t="str">
        <x:v>Run the full 17-test suite twice without source changes and retain both result bundles.</x:v>
      </x:c>
      <x:c r="G68" s="42" t="str">
        <x:v>All 17 tests pass twice with zero failures and zero skips.</x:v>
      </x:c>
      <x:c r="H68" s="42" t="str">
        <x:v>Both unchanged sweeps passed 17 of 17 tests with zero failures and zero skips.</x:v>
      </x:c>
      <x:c r="I68" s="42" t="str">
        <x:v>Pass</x:v>
      </x:c>
      <x:c r="J68" s="42" t="str">
        <x:v>Not applicable</x:v>
      </x:c>
      <x:c r="K68" s="42" t="str">
        <x:v>Not applicable</x:v>
      </x:c>
      <x:c r="L68" s="42" t="str">
        <x:v>Not applicable</x:v>
      </x:c>
      <x:c r="M68" s="42" t="str"/>
      <x:c r="N68" s="42" t="str"/>
      <x:c r="O68" s="42" t="str"/>
      <x:c r="P68" s="42" t="str">
        <x:v>DEF-042, DEF-043</x:v>
      </x:c>
      <x:c r="Q68" s="42" t="str">
        <x:v>settings_lowercase</x:v>
      </x:c>
      <x:c r="R68" s="52" t="n">
        <x:v>46269.87222222222</x:v>
      </x:c>
      <x:c r="S68" s="42" t="str">
        <x:v>This validates process and queue behavior with mock Dock services. Live macOS Focus remains unverified.</x:v>
      </x:c>
    </x:row>
    <x:row r="69">
      <x:c r="A69" s="42" t="str">
        <x:v>TR-MENU-MODEL-GREEN-001</x:v>
      </x:c>
      <x:c r="B69" s="42" t="str">
        <x:v>MEN-001, MEN-002, MEN-005, MEN-007, BRD-001</x:v>
      </x:c>
      <x:c r="C69" s="42" t="str">
        <x:v>hosted app model with native menu lifecycle repair, 2026-09-04</x:v>
      </x:c>
      <x:c r="D69" s="42" t="str">
        <x:v>macOS 26.4.1 with disconnected NSMenu fixtures and no live menu bar status item.</x:v>
      </x:c>
      <x:c r="E69" s="42" t="str">
        <x:v>The source-reproduced menu replacement case had explicit repair on application update and coalesced native menu add, change, and remove notifications.</x:v>
      </x:c>
      <x:c r="F69" s="42" t="str">
        <x:v>Run 17 app-model tests plus three native menu lifecycle tests.</x:v>
      </x:c>
      <x:c r="G69" s="42" t="str">
        <x:v>All 20 tests pass, preserving actions, shortcuts, system text, profile text, recents, and services while restoring dockit's menus after replacement.</x:v>
      </x:c>
      <x:c r="H69" s="42" t="str">
        <x:v>All 20 tests passed with zero failures and zero skips.</x:v>
      </x:c>
      <x:c r="I69" s="42" t="str">
        <x:v>Pass</x:v>
      </x:c>
      <x:c r="J69" s="42" t="str">
        <x:v>Not applicable</x:v>
      </x:c>
      <x:c r="K69" s="42" t="str">
        <x:v>Not applicable</x:v>
      </x:c>
      <x:c r="L69" s="42" t="str">
        <x:v>Not applicable</x:v>
      </x:c>
      <x:c r="M69" s="42" t="str"/>
      <x:c r="N69" s="42" t="str"/>
      <x:c r="O69" s="42" t="str"/>
      <x:c r="P69" s="42" t="str">
        <x:v>DEF-045</x:v>
      </x:c>
      <x:c r="Q69" s="42" t="str">
        <x:v>settings_lowercase</x:v>
      </x:c>
      <x:c r="R69" s="52" t="n">
        <x:v>46269.882314814815</x:v>
      </x:c>
      <x:c r="S69" s="42" t="str">
        <x:v>The repaired native menu still needs a live rebuild and accessibility retest.</x:v>
      </x:c>
    </x:row>
    <x:row r="70">
      <x:c r="A70" s="42" t="str">
        <x:v>TR-TRANSFER-MODEL-GREEN-001</x:v>
      </x:c>
      <x:c r="B70" s="42" t="str">
        <x:v>SET-004, XFR-001, XFR-003, XFR-004, XFR-005, XFR-006</x:v>
      </x:c>
      <x:c r="C70" s="42" t="str">
        <x:v>hosted app model with settings-scoped transfer presentation repair, 2026-09-04</x:v>
      </x:c>
      <x:c r="D70" s="42" t="str">
        <x:v>macOS 26.4.1 under DOCKIT_DEMO=1 with integratesWithSystem=false, a fake file picker, temporary stores, and mock Dock services.</x:v>
      </x:c>
      <x:c r="E70" s="42" t="str">
        <x:v>Five transfer presentation cases cover import and export success, panel cancellation, review cancellation, host lifetime, and unavailable app preservation.</x:v>
      </x:c>
      <x:c r="F70" s="42" t="str">
        <x:v>Run the complete 25-test hosted suite twice without source changes and inspect both summaries.</x:v>
      </x:c>
      <x:c r="G70" s="42" t="str">
        <x:v>All 25 tests pass twice with zero failures and zero skips.</x:v>
      </x:c>
      <x:c r="H70" s="42" t="str">
        <x:v>Both unchanged sweeps passed 25 of 25 tests with zero failures and zero skips.</x:v>
      </x:c>
      <x:c r="I70" s="42" t="str">
        <x:v>Pass</x:v>
      </x:c>
      <x:c r="J70" s="42" t="str">
        <x:v>Not applicable</x:v>
      </x:c>
      <x:c r="K70" s="42" t="str">
        <x:v>Not applicable</x:v>
      </x:c>
      <x:c r="L70" s="42" t="str">
        <x:v>Not applicable</x:v>
      </x:c>
      <x:c r="M70" s="42" t="str"/>
      <x:c r="N70" s="42" t="str"/>
      <x:c r="O70" s="42" t="str"/>
      <x:c r="P70" s="42" t="str">
        <x:v>DEF-046</x:v>
      </x:c>
      <x:c r="Q70" s="42" t="str">
        <x:v>settings_lowercase</x:v>
      </x:c>
      <x:c r="R70" s="52" t="n">
        <x:v>46269.88576388889</x:v>
      </x:c>
      <x:c r="S70" s="42" t="str">
        <x:v>The fake picker proves model and presentation ownership. Native file-panel focus and visible success presentation remain open.</x:v>
      </x:c>
    </x:row>
    <x:row r="71">
      <x:c r="A71" s="42" t="str">
        <x:v>TR-REDESIGN-BUILD-001</x:v>
      </x:c>
      <x:c r="B71" s="42" t="str">
        <x:v>PRF-009, PRF-010, PRF-023, PRF-028, PRF-030, PRF-033, PRF-034, MEN-005, SET-001, SET-002, SET-003, SET-004, BRD-001, UX-001</x:v>
      </x:c>
      <x:c r="C71" s="42" t="str">
        <x:v>integrated source before later AppModel, menu, transfer-copy, and accessibility corrections, 2026-09-04</x:v>
      </x:c>
      <x:c r="D71" s="42" t="str">
        <x:v>Xcode build on macOS 26.4.1.</x:v>
      </x:c>
      <x:c r="E71" s="42" t="str">
        <x:v>The local library v2, one-page editor, and one-page settings source were integrated.</x:v>
      </x:c>
      <x:c r="F71" s="42" t="str">
        <x:v>Build the integrated macOS app target and retain complete output.</x:v>
      </x:c>
      <x:c r="G71" s="42" t="str">
        <x:v>Compilation and linking succeed.</x:v>
      </x:c>
      <x:c r="H71" s="42" t="str">
        <x:v>The integrated build succeeded.</x:v>
      </x:c>
      <x:c r="I71" s="42" t="str">
        <x:v>Pass</x:v>
      </x:c>
      <x:c r="J71" s="42" t="str">
        <x:v>Not applicable</x:v>
      </x:c>
      <x:c r="K71" s="42" t="str">
        <x:v>Not applicable</x:v>
      </x:c>
      <x:c r="L71" s="42" t="str">
        <x:v>Not applicable</x:v>
      </x:c>
      <x:c r="M71" s="42" t="str"/>
      <x:c r="N71" s="42" t="str"/>
      <x:c r="O71" s="42" t="str"/>
      <x:c r="P71" s="42" t="str"/>
      <x:c r="Q71" s="42" t="str">
        <x:v>root</x:v>
      </x:c>
      <x:c r="R71" s="52" t="n">
        <x:v>46269.85763888889</x:v>
      </x:c>
      <x:c r="S71" s="42" t="str">
        <x:v>This build predates later AppModel, menu lifecycle, transfer copy, and preview accessibility changes. It is not the final build gate.</x:v>
      </x:c>
    </x:row>
    <x:row r="72">
      <x:c r="A72" s="42" t="str">
        <x:v>TR-LIVE-QA-INFRA-001</x:v>
      </x:c>
      <x:c r="B72" s="42" t="str">
        <x:v>MEN-005, UX-001</x:v>
      </x:c>
      <x:c r="C72" s="42" t="str">
        <x:v>demo app 2026-09-04</x:v>
      </x:c>
      <x:c r="D72" s="42" t="str">
        <x:v>macOS 26.4.1 screen-control session.</x:v>
      </x:c>
      <x:c r="E72" s="42" t="str">
        <x:v>An older demo process was still active when the first screen-control session opened.</x:v>
      </x:c>
      <x:c r="F72" s="42" t="str">
        <x:v>Attempt to connect twice, reset the session, terminate only the verified stale demo process, launch the latest built test copy, and reconnect.</x:v>
      </x:c>
      <x:c r="G72" s="42" t="str">
        <x:v>The current app becomes inspectable without changing user data or the real Dock.</x:v>
      </x:c>
      <x:c r="H72" s="42" t="str">
        <x:v>The first two connections were blocked by a closed native pipe. After targeted stale-process cleanup, screen control recovered and interaction testing continued.</x:v>
      </x:c>
      <x:c r="I72" s="42" t="str">
        <x:v>Blocked</x:v>
      </x:c>
      <x:c r="J72" s="42" t="str">
        <x:v>Not run</x:v>
      </x:c>
      <x:c r="K72" s="42" t="str">
        <x:v>Not run</x:v>
      </x:c>
      <x:c r="L72" s="42" t="str">
        <x:v>Not run</x:v>
      </x:c>
      <x:c r="M72" s="42" t="str"/>
      <x:c r="N72" s="42" t="str"/>
      <x:c r="O72" s="42" t="str"/>
      <x:c r="P72" s="42" t="str"/>
      <x:c r="Q72" s="42" t="str">
        <x:v>root</x:v>
      </x:c>
      <x:c r="R72" s="52" t="n">
        <x:v>46269.875</x:v>
      </x:c>
      <x:c r="S72" s="42" t="str">
        <x:v>This was resolved test infrastructure, not a dockit defect.</x:v>
      </x:c>
    </x:row>
    <x:row r="73">
      <x:c r="A73" s="42" t="str">
        <x:v>TR-EDITOR-DARK-001</x:v>
      </x:c>
      <x:c r="B73" s="42" t="str">
        <x:v>PRF-009, PRF-010, PRF-020, PRF-023, PRF-028, PRF-030, PRF-033, PRF-034, PRF-029, MEN-004, MEN-005, BRD-001, UX-001</x:v>
      </x:c>
      <x:c r="C73" s="42" t="str">
        <x:v>dark demo build 2026-09-04 with long content and a 900 millisecond simulated activation delay</x:v>
      </x:c>
      <x:c r="D73" s="42" t="str">
        <x:v>macOS 26.4.1 dark appearance under DOCKIT_DEMO=1. The real Dock and normal library store were not changed.</x:v>
      </x:c>
      <x:c r="E73" s="42" t="str">
        <x:v>Long profile names, an unavailable app, and active and inactive fixtures were loaded.</x:v>
      </x:c>
      <x:c r="F73" s="42" t="str">
        <x:v>Inspect 620 and 520 point widths, expand details, click preview items, move focus, extend and toggle selection, select all, reorder the group, and inspect accessibility roles and saved status.</x:v>
      </x:c>
      <x:c r="G73" s="42" t="str">
        <x:v>The one-page editor stays readable without truncation, exposes actionable item semantics, supports keyboard group selection and movement, and saves the inactive profile without applying it.</x:v>
      </x:c>
      <x:c r="H73" s="42" t="str">
        <x:v>The post-fix editor passed the tested resize, wrap, disclosure, keyboard, focus, selection, reorder, and saved-without-applying behaviors. The run also exposed a transient native menu replacement.</x:v>
      </x:c>
      <x:c r="I73" s="42" t="str">
        <x:v>Pass</x:v>
      </x:c>
      <x:c r="J73" s="42" t="str">
        <x:v>Pass</x:v>
      </x:c>
      <x:c r="K73" s="42" t="str">
        <x:v>Not run</x:v>
      </x:c>
      <x:c r="L73" s="42" t="str">
        <x:v>Pass</x:v>
      </x:c>
      <x:c r="M73" s="42" t="str">
        <x:v>artifacts/ui/sidebar-free/editor-dark-initial.png</x:v>
      </x:c>
      <x:c r="N73" s="42" t="str">
        <x:v>artifacts/ui/sidebar-free/editor-dark-keyboard-reorder.png</x:v>
      </x:c>
      <x:c r="O73" s="42" t="str"/>
      <x:c r="P73" s="42" t="str">
        <x:v>DEF-044, DEF-045</x:v>
      </x:c>
      <x:c r="Q73" s="42" t="str">
        <x:v>root</x:v>
      </x:c>
      <x:c r="R73" s="52" t="n">
        <x:v>46269.88055555556</x:v>
      </x:c>
      <x:c r="S73" s="42" t="str">
        <x:v>Accessibility verdict covers the tested accessibility roles and keyboard actions only. VoiceOver speech, pointer drag, motion, light appearance, and real Dock switching were not tested.</x:v>
      </x:c>
    </x:row>
    <x:row r="74">
      <x:c r="A74" s="42" t="str">
        <x:v>TR-SETTINGS-DARK-001</x:v>
      </x:c>
      <x:c r="B74" s="42" t="str">
        <x:v>MEN-005, SET-001, SET-002, SET-003, SET-004, BRD-001, UX-001, UX-002</x:v>
      </x:c>
      <x:c r="C74" s="42" t="str">
        <x:v>dark demo build 2026-09-04</x:v>
      </x:c>
      <x:c r="D74" s="42" t="str">
        <x:v>macOS 26.4.1 dark appearance under DOCKIT_DEMO=1.</x:v>
      </x:c>
      <x:c r="E74" s="42" t="str">
        <x:v>The one-page Settings source was built and the selected first icon had not been installed.</x:v>
      </x:c>
      <x:c r="F74" s="42" t="str">
        <x:v>Open settings, resize to 620 by 620 and 520 by 480, scroll through every group, and inspect wrapping, distribution copy, local-only copy, and the icon.</x:v>
      </x:c>
      <x:c r="G74" s="42" t="str">
        <x:v>All groups remain reachable and readable without a sidebar or truncation, and the selected icon and truthful development distribution are visible.</x:v>
      </x:c>
      <x:c r="H74" s="42" t="str">
        <x:v>The one-page native structure, scrolling, wrapping, and development distribution copy passed. The old full-color icon remained, so the visual run failed overall.</x:v>
      </x:c>
      <x:c r="I74" s="42" t="str">
        <x:v>Pass</x:v>
      </x:c>
      <x:c r="J74" s="42" t="str">
        <x:v>Fail</x:v>
      </x:c>
      <x:c r="K74" s="42" t="str">
        <x:v>Not applicable</x:v>
      </x:c>
      <x:c r="L74" s="42" t="str">
        <x:v>Not run</x:v>
      </x:c>
      <x:c r="M74" s="42" t="str"/>
      <x:c r="N74" s="42" t="str"/>
      <x:c r="O74" s="42" t="str"/>
      <x:c r="P74" s="42" t="str">
        <x:v>DEF-050</x:v>
      </x:c>
      <x:c r="Q74" s="42" t="str">
        <x:v>root</x:v>
      </x:c>
      <x:c r="R74" s="52" t="n">
        <x:v>46269.881944444445</x:v>
      </x:c>
      <x:c r="S74" s="42" t="str">
        <x:v>Settings actions, light appearance, large text, Increased Contrast, and VoiceOver remain open.</x:v>
      </x:c>
    </x:row>
    <x:row r="75">
      <x:c r="A75" s="42" t="str">
        <x:v>TR-TRANSFER-DARK-001</x:v>
      </x:c>
      <x:c r="B75" s="42" t="str">
        <x:v>SET-004, XFR-001, XFR-003, XFR-005, XFR-006, UX-001</x:v>
      </x:c>
      <x:c r="C75" s="42" t="str">
        <x:v>dark demo build 2026-09-04 before transfer presentation fixes</x:v>
      </x:c>
      <x:c r="D75" s="42" t="str">
        <x:v>macOS 26.4.1 dark appearance under DOCKIT_DEMO=1 with native file panels and fixture data.</x:v>
      </x:c>
      <x:c r="E75" s="42" t="str">
        <x:v>The selected profile contained a long name and an unavailable application.</x:v>
      </x:c>
      <x:c r="F75" s="42" t="str">
        <x:v>Export the selected profile, inspect the portable archive, import it, review collision and unavailable-app presentation, complete import, and inspect the profile count.</x:v>
      </x:c>
      <x:c r="G75" s="42" t="str">
        <x:v>The round trip preserves order and unavailable entries, keeps Settings context through panels, reports success locally, and describes direct available-entry apply accurately.</x:v>
      </x:c>
      <x:c r="H75" s="42" t="str">
        <x:v>Archive contents and import completion passed. Export returned focus to the editor without local Settings success, import copy described a removed preflight, and two unused stripes looked like empty rows.</x:v>
      </x:c>
      <x:c r="I75" s="42" t="str">
        <x:v>Fail</x:v>
      </x:c>
      <x:c r="J75" s="42" t="str">
        <x:v>Fail</x:v>
      </x:c>
      <x:c r="K75" s="42" t="str">
        <x:v>Not applicable</x:v>
      </x:c>
      <x:c r="L75" s="42" t="str">
        <x:v>Not run</x:v>
      </x:c>
      <x:c r="M75" s="42" t="str"/>
      <x:c r="N75" s="42" t="str">
        <x:v>artifacts/ui/sidebar-free/import-dark-before-fix.png</x:v>
      </x:c>
      <x:c r="O75" s="42" t="str"/>
      <x:c r="P75" s="42" t="str">
        <x:v>DEF-046, DEF-047, DEF-048</x:v>
      </x:c>
      <x:c r="Q75" s="42" t="str">
        <x:v>root</x:v>
      </x:c>
      <x:c r="R75" s="52" t="n">
        <x:v>46269.88333333333</x:v>
      </x:c>
      <x:c r="S75" s="42" t="str">
        <x:v>The native menu screenshot was unavailable, so this run makes no active-checkmark claim.</x:v>
      </x:c>
    </x:row>
    <x:row r="76">
      <x:c r="A76" s="42" t="str">
        <x:v>TR-MENU-LIVE-001</x:v>
      </x:c>
      <x:c r="B76" s="42" t="str">
        <x:v>MEN-001, MEN-002, MEN-005, MEN-007, BRD-001</x:v>
      </x:c>
      <x:c r="C76" s="42" t="str">
        <x:v>dark demo build 2026-09-04 before menu lifecycle repair</x:v>
      </x:c>
      <x:c r="D76" s="42" t="str">
        <x:v>macOS 26.4.1 live application menu during editor interaction.</x:v>
      </x:c>
      <x:c r="E76" s="42" t="str">
        <x:v>The app-owned lowercase native menu and docks command existed before a SwiftUI state update.</x:v>
      </x:c>
      <x:c r="F76" s="42" t="str">
        <x:v>Reorder preview items, then inspect the native application menu before and after a later window event.</x:v>
      </x:c>
      <x:c r="G76" s="42" t="str">
        <x:v>The lowercase app menu and custom docks menu remain stable across view updates.</x:v>
      </x:c>
      <x:c r="H76" s="42" t="str">
        <x:v>After reorder, one accessibility snapshot showed capitalized stock menu titles and no docks menu. A later window event restored the customized menu.</x:v>
      </x:c>
      <x:c r="I76" s="42" t="str">
        <x:v>Fail</x:v>
      </x:c>
      <x:c r="J76" s="42" t="str">
        <x:v>Fail</x:v>
      </x:c>
      <x:c r="K76" s="42" t="str">
        <x:v>Not applicable</x:v>
      </x:c>
      <x:c r="L76" s="42" t="str">
        <x:v>Fail</x:v>
      </x:c>
      <x:c r="M76" s="42" t="str"/>
      <x:c r="N76" s="42" t="str"/>
      <x:c r="O76" s="42" t="str"/>
      <x:c r="P76" s="42" t="str">
        <x:v>DEF-045</x:v>
      </x:c>
      <x:c r="Q76" s="42" t="str">
        <x:v>root</x:v>
      </x:c>
      <x:c r="R76" s="52" t="n">
        <x:v>46269.880902777775</x:v>
      </x:c>
      <x:c r="S76" s="42" t="str">
        <x:v>Hosted menu lifecycle tests now pass, but the repaired build has not had this native runtime retest.</x:v>
      </x:c>
    </x:row>
    <x:row r="77">
      <x:c r="A77" s="42" t="str">
        <x:v>TR-DOCK-TIMING-TOOL-001</x:v>
      </x:c>
      <x:c r="B77" s="42" t="str">
        <x:v>MOT-001, MOT-002, MOT-003, MOT-004</x:v>
      </x:c>
      <x:c r="C77" s="42" t="str">
        <x:v>offline timing evidence evaluator, source 2026-09-04</x:v>
      </x:c>
      <x:c r="D77" s="42" t="str">
        <x:v>Node test runner on macOS 26.4.1 with synthetic reliability reports and frame annotations only.</x:v>
      </x:c>
      <x:c r="E77" s="42" t="str">
        <x:v>The evaluator distinguishes wallpaper blackout, first-return delay, settling delay, uncertainty bounds, and total operation elapsed.</x:v>
      </x:c>
      <x:c r="F77" s="42" t="str">
        <x:v>Run all synthetic evaluator tests, including incomplete evidence and deterministic fallback cases.</x:v>
      </x:c>
      <x:c r="G77" s="42" t="str">
        <x:v>All 21 tests pass, and every missing, unreliable, inconclusive, or non-qualifying candidate retains forced termination.</x:v>
      </x:c>
      <x:c r="H77" s="42" t="str">
        <x:v>All 21 synthetic tests passed. No real Dock recording or timing evidence was created.</x:v>
      </x:c>
      <x:c r="I77" s="42" t="str">
        <x:v>Pass</x:v>
      </x:c>
      <x:c r="J77" s="42" t="str">
        <x:v>Not applicable</x:v>
      </x:c>
      <x:c r="K77" s="42" t="str">
        <x:v>Not applicable</x:v>
      </x:c>
      <x:c r="L77" s="42" t="str">
        <x:v>Not applicable</x:v>
      </x:c>
      <x:c r="M77" s="42" t="str"/>
      <x:c r="N77" s="42" t="str"/>
      <x:c r="O77" s="42" t="str"/>
      <x:c r="P77" s="42" t="str"/>
      <x:c r="Q77" s="42" t="str">
        <x:v>root and blackout_benchmark_resume</x:v>
      </x:c>
      <x:c r="R77" s="52" t="n">
        <x:v>46269.873611111114</x:v>
      </x:c>
      <x:c r="S77" s="42" t="str">
        <x:v>The current DockProbe result is preservation-only. Visible timing remains unverified until reviewed recordings and raw frame annotations exist.</x:v>
      </x:c>
    </x:row>
    <x:row r="78">
      <x:c r="A78" s="42" t="str">
        <x:v>TR-EXPORT-NATIVE-DARK-001</x:v>
      </x:c>
      <x:c r="B78" s="42" t="str">
        <x:v>SET-004, XFR-001, UX-001</x:v>
      </x:c>
      <x:c r="C78" s="42" t="str">
        <x:v>dark demo build 2026-09-04 before native export lifecycle repair</x:v>
      </x:c>
      <x:c r="D78" s="42" t="str">
        <x:v>macOS 26.4.1 dark appearance under DOCKIT_DEMO=1 with the real native save panel and fixture data.</x:v>
      </x:c>
      <x:c r="E78" s="42" t="str">
        <x:v>Export was opened from Settings through the profile-selection sheet.</x:v>
      </x:c>
      <x:c r="F78" s="42" t="str">
        <x:v>Select a profile, open the native save panel, interact with the filename field, attempt save, and inspect the file system and restored presentation.</x:v>
      </x:c>
      <x:c r="G78" s="42" t="str">
        <x:v>The selection sheet dismisses before the native panel, the file writes once, Settings context stays owned until completion, and cancellation returns to the selection step without timers.</x:v>
      </x:c>
      <x:c r="H78" s="42" t="str">
        <x:v>The save panel was nested under the export selection sheet. Filename interaction or save returned prematurely to profile selection, and no file was written. Settings cancellation feedback and window restoration passed.</x:v>
      </x:c>
      <x:c r="I78" s="42" t="str">
        <x:v>Fail</x:v>
      </x:c>
      <x:c r="J78" s="42" t="str">
        <x:v>Fail</x:v>
      </x:c>
      <x:c r="K78" s="42" t="str">
        <x:v>Not applicable</x:v>
      </x:c>
      <x:c r="L78" s="42" t="str">
        <x:v>Not run</x:v>
      </x:c>
      <x:c r="M78" s="42" t="str">
        <x:v>artifacts/ui/sidebar-free/export-nested-native-panel.png</x:v>
      </x:c>
      <x:c r="N78" s="42" t="str">
        <x:v>artifacts/ui/sidebar-free/export-selection-unexpected-return.png</x:v>
      </x:c>
      <x:c r="O78" s="42" t="str"/>
      <x:c r="P78" s="42" t="str">
        <x:v>DEF-051</x:v>
      </x:c>
      <x:c r="Q78" s="42" t="str">
        <x:v>root</x:v>
      </x:c>
      <x:c r="R78" s="52" t="n">
        <x:v>46269.8875</x:v>
      </x:c>
      <x:c r="S78" s="42" t="str">
        <x:v>Hosted fake-picker tests cannot verify this native AppKit presentation boundary. The source repair needs a rebuilt native panel retest.</x:v>
      </x:c>
    </x:row>
    <x:row r="79">
      <x:c r="A79" s="42" t="str">
        <x:v>TR-COPY-HELP-AUDIT-001</x:v>
      </x:c>
      <x:c r="B79" s="42" t="str">
        <x:v>PRF-006, PRF-033, PRF-034, MEN-004, XFR-006, PRF-030, REL-001</x:v>
      </x:c>
      <x:c r="C79" s="42" t="str">
        <x:v>source review before copy and help corrections, 2026-09-04</x:v>
      </x:c>
      <x:c r="D79" s="42" t="str">
        <x:v>Static SwiftUI source review on macOS 26.4.1. No app launch or real Dock mutation.</x:v>
      </x:c>
      <x:c r="E79" s="42" t="str">
        <x:v>The approved apply vocabulary, available-entry behavior, and keyboard interaction requirements were settled.</x:v>
      </x:c>
      <x:c r="F79" s="42" t="str">
        <x:v>Trace visible keyboard guidance, profile deletion confirmation, and unavailable-app review status copy.</x:v>
      </x:c>
      <x:c r="G79" s="42" t="str">
        <x:v>Keyboard commands are discoverable in visible UI, deletion uses apply terminology, and unavailable-app results describe applied and skipped entries accurately.</x:v>
      </x:c>
      <x:c r="H79" s="42" t="str">
        <x:v>Keyboard guidance existed only as an accessibility hint. Deletion still said make active, manual unavailable review reported switch canceled, and relink save failure discarded the chosen replacement instead of retaining a retryable buffer.</x:v>
      </x:c>
      <x:c r="I79" s="42" t="str">
        <x:v>Fail</x:v>
      </x:c>
      <x:c r="J79" s="42" t="str">
        <x:v>Fail</x:v>
      </x:c>
      <x:c r="K79" s="42" t="str">
        <x:v>Not applicable</x:v>
      </x:c>
      <x:c r="L79" s="42" t="str">
        <x:v>Fail</x:v>
      </x:c>
      <x:c r="M79" s="42" t="str"/>
      <x:c r="N79" s="42" t="str"/>
      <x:c r="O79" s="42" t="str"/>
      <x:c r="P79" s="42" t="str">
        <x:v>DEF-052, DEF-053, DEF-054, DEF-055</x:v>
      </x:c>
      <x:c r="Q79" s="42" t="str">
        <x:v>root</x:v>
      </x:c>
      <x:c r="R79" s="52" t="n">
        <x:v>46269.88784722222</x:v>
      </x:c>
      <x:c r="S79" s="42" t="str">
        <x:v>These findings are logged before correction. Post-fix model and runtime checks remain open.</x:v>
      </x:c>
    </x:row>
    <x:row r="80">
      <x:c r="A80" s="42" t="str">
        <x:v>TR-LEDGER-CHECKPOINT-VISUAL-001</x:v>
      </x:c>
      <x:c r="B80" s="42" t="str">
        <x:v>MOT-001</x:v>
      </x:c>
      <x:c r="C80" s="42" t="str">
        <x:v>canonical ledger checkpoint before metric correction, 2026-09-04</x:v>
      </x:c>
      <x:c r="D80" s="42" t="str">
        <x:v>Rendered bounded story-definition review on macOS 26.4.1.</x:v>
      </x:c>
      <x:c r="E80" s="42" t="str">
        <x:v>The checkpoint workbook had passed reference and formula validation and its changed definitions were rendered at readable scale.</x:v>
      </x:c>
      <x:c r="F80" s="42" t="str">
        <x:v>Inspect the MOT-001 user story, expected behavior, and acceptance test in the bounded definition render.</x:v>
      </x:c>
      <x:c r="G80" s="42" t="str">
        <x:v>Background blackout means the expected wallpaper or background disappears or becomes a black or flat placeholder. Ordinary wallpaper with an absent Dock is excluded.</x:v>
      </x:c>
      <x:c r="H80" s="42" t="str">
        <x:v>The rendered definition treated any wallpaper visible instead of Dock content as blackout, conflating Dock absence with a background blackout.</x:v>
      </x:c>
      <x:c r="I80" s="42" t="str">
        <x:v>Fail</x:v>
      </x:c>
      <x:c r="J80" s="42" t="str">
        <x:v>Fail</x:v>
      </x:c>
      <x:c r="K80" s="42" t="str">
        <x:v>Not run</x:v>
      </x:c>
      <x:c r="L80" s="42" t="str">
        <x:v>Not applicable</x:v>
      </x:c>
      <x:c r="M80" s="42" t="str">
        <x:v>artifacts/ledger/Stories-checkpoint-definitions-b.png</x:v>
      </x:c>
      <x:c r="N80" s="42" t="str"/>
      <x:c r="O80" s="42" t="str"/>
      <x:c r="P80" s="42" t="str">
        <x:v>DEF-058</x:v>
      </x:c>
      <x:c r="Q80" s="42" t="str">
        <x:v>root</x:v>
      </x:c>
      <x:c r="R80" s="52" t="n">
        <x:v>46269.894791666666</x:v>
      </x:c>
      <x:c r="S80" s="42" t="str">
        <x:v>This is a specification review failure, not a real Dock timing result.</x:v>
      </x:c>
    </x:row>
    <x:row r="81">
      <x:c r="A81" s="42" t="str">
        <x:v>TR-LEDGER-METRIC-RETEST-001</x:v>
      </x:c>
      <x:c r="B81" s="42" t="str">
        <x:v>MOT-001, MOT-004</x:v>
      </x:c>
      <x:c r="C81" s="42" t="str">
        <x:v>canonical ledger after background-blackout correction, 2026-09-04</x:v>
      </x:c>
      <x:c r="D81" s="42" t="str">
        <x:v>Isolated workbook update, formula and reference validation, and bounded definition render on macOS 26.4.1.</x:v>
      </x:c>
      <x:c r="E81" s="42" t="str">
        <x:v>DEC-25 and the revised MOT-001 definition were applied without changing MOT story verdicts.</x:v>
      </x:c>
      <x:c r="F81" s="42" t="str">
        <x:v>Validate the workbook, render the corrected MOT rows at readable scale, and inspect the definition and verdict boundary.</x:v>
      </x:c>
      <x:c r="G81" s="42" t="str">
        <x:v>The definition excludes normal wallpaper with an absent Dock, keeps all three timing metrics separate, and leaves live timing unverified.</x:v>
      </x:c>
      <x:c r="H81" s="42" t="str">
        <x:v>The corrected render states the exclusion directly, keeps first-return and settling separate, and leaves MOT-001 and MOT-004 at Not run for functional, visual, and motion verdicts.</x:v>
      </x:c>
      <x:c r="I81" s="42" t="str">
        <x:v>Pass</x:v>
      </x:c>
      <x:c r="J81" s="42" t="str">
        <x:v>Pass</x:v>
      </x:c>
      <x:c r="K81" s="42" t="str">
        <x:v>Not applicable</x:v>
      </x:c>
      <x:c r="L81" s="42" t="str">
        <x:v>Not applicable</x:v>
      </x:c>
      <x:c r="M81" s="42" t="str"/>
      <x:c r="N81" s="42" t="str">
        <x:v>artifacts/ledger/Stories-metric-correction.png</x:v>
      </x:c>
      <x:c r="O81" s="42" t="str"/>
      <x:c r="P81" s="42" t="str">
        <x:v>DEF-058</x:v>
      </x:c>
      <x:c r="Q81" s="42" t="str">
        <x:v>blackout_benchmark_resume</x:v>
      </x:c>
      <x:c r="R81" s="52" t="n">
        <x:v>46269.90416666667</x:v>
      </x:c>
      <x:c r="S81" s="42" t="str">
        <x:v>This verifies canonical wording only. No restart strategy qualifies from current evidence.</x:v>
      </x:c>
    </x:row>
    <x:row r="82">
      <x:c r="A82" s="42" t="str">
        <x:v>TR-EXPORT-SEQUENTIAL-MODEL-GREEN-001</x:v>
      </x:c>
      <x:c r="B82" s="42" t="str">
        <x:v>SET-004, XFR-001</x:v>
      </x:c>
      <x:c r="C82" s="42" t="str">
        <x:v>hosted app model after sequential export presentation repair, 2026-09-04</x:v>
      </x:c>
      <x:c r="D82" s="42" t="str">
        <x:v>macOS 26.4.1 under DOCKIT_DEMO=1 with integratesWithSystem=false, a fake file picker, temporary stores, and mock Dock services.</x:v>
      </x:c>
      <x:c r="E82" s="42" t="str">
        <x:v>Export selection must dismiss before the native-panel boundary, and cancel or write failure must restore the same Settings-owned selection state.</x:v>
      </x:c>
      <x:c r="F82" s="42" t="str">
        <x:v>Run the complete 28-test hosted suite twice without source changes.</x:v>
      </x:c>
      <x:c r="G82" s="42" t="str">
        <x:v>All 28 tests pass twice, including ordered dismissal, single panel start, cancel retry, checkbox preservation, and retryable write failure.</x:v>
      </x:c>
      <x:c r="H82" s="42" t="str">
        <x:v>Both unchanged runs passed 28 of 28 tests with zero failures and zero skips.</x:v>
      </x:c>
      <x:c r="I82" s="42" t="str">
        <x:v>Pass</x:v>
      </x:c>
      <x:c r="J82" s="42" t="str">
        <x:v>Not applicable</x:v>
      </x:c>
      <x:c r="K82" s="42" t="str">
        <x:v>Not applicable</x:v>
      </x:c>
      <x:c r="L82" s="42" t="str">
        <x:v>Not applicable</x:v>
      </x:c>
      <x:c r="M82" s="42" t="str"/>
      <x:c r="N82" s="42" t="str"/>
      <x:c r="O82" s="42" t="str"/>
      <x:c r="P82" s="42" t="str">
        <x:v>DEF-051</x:v>
      </x:c>
      <x:c r="Q82" s="42" t="str">
        <x:v>settings_lowercase</x:v>
      </x:c>
      <x:c r="R82" s="52" t="n">
        <x:v>46269.893125</x:v>
      </x:c>
      <x:c r="S82" s="42" t="str">
        <x:v>Fake-picker evidence does not prove native AppKit control routing.</x:v>
      </x:c>
    </x:row>
    <x:row r="83">
      <x:c r="A83" s="42" t="str">
        <x:v>TR-TRANSFER-INGRESS-RED-001</x:v>
      </x:c>
      <x:c r="B83" s="42" t="str">
        <x:v>SET-004, XFR-001, XFR-003</x:v>
      </x:c>
      <x:c r="C83" s="42" t="str">
        <x:v>hosted app model before transfer ingress guard, 2026-09-04</x:v>
      </x:c>
      <x:c r="D83" s="42" t="str">
        <x:v>macOS 26.4.1 with the real AppModel transfer ingress path, fake file picker, and isolated stores.</x:v>
      </x:c>
      <x:c r="E83" s="42" t="str">
        <x:v>A Settings-owned export or import presentation was active when a Finder open request arrived.</x:v>
      </x:c>
      <x:c r="F83" s="42" t="str">
        <x:v>Run the two new ingress tests, including three parameterized export phases, with the existing 28 checks.</x:v>
      </x:c>
      <x:c r="G83" s="42" t="str">
        <x:v>Finder open is rejected before it can replace the active Settings transfer host.</x:v>
      </x:c>
      <x:c r="H83" s="42" t="str">
        <x:v>Twenty-eight existing functions passed. Two new functions failed across four executions because the host changed to management before rejection.</x:v>
      </x:c>
      <x:c r="I83" s="42" t="str">
        <x:v>Fail</x:v>
      </x:c>
      <x:c r="J83" s="42" t="str">
        <x:v>Not applicable</x:v>
      </x:c>
      <x:c r="K83" s="42" t="str">
        <x:v>Not applicable</x:v>
      </x:c>
      <x:c r="L83" s="42" t="str">
        <x:v>Not applicable</x:v>
      </x:c>
      <x:c r="M83" s="42" t="str"/>
      <x:c r="N83" s="42" t="str"/>
      <x:c r="O83" s="42" t="str"/>
      <x:c r="P83" s="42" t="str">
        <x:v>DEF-057</x:v>
      </x:c>
      <x:c r="Q83" s="42" t="str">
        <x:v>settings_lowercase</x:v>
      </x:c>
      <x:c r="R83" s="52" t="n">
        <x:v>46269.89450231481</x:v>
      </x:c>
      <x:c r="S83" s="42" t="str">
        <x:v>This is intentional red model evidence.</x:v>
      </x:c>
    </x:row>
    <x:row r="84">
      <x:c r="A84" s="42" t="str">
        <x:v>TR-TRANSFER-INGRESS-GREEN-001</x:v>
      </x:c>
      <x:c r="B84" s="42" t="str">
        <x:v>SET-004, XFR-001, XFR-003</x:v>
      </x:c>
      <x:c r="C84" s="42" t="str">
        <x:v>hosted app model after transfer ingress guard, 2026-09-04</x:v>
      </x:c>
      <x:c r="D84" s="42" t="str">
        <x:v>macOS 26.4.1 with the real AppModel transfer ingress path, fake file picker, and isolated stores.</x:v>
      </x:c>
      <x:c r="E84" s="42" t="str">
        <x:v>Ingress validation runs before any transfer host mutation.</x:v>
      </x:c>
      <x:c r="F84" s="42" t="str">
        <x:v>Run the complete suite twice without source changes, including all parameterized ingress phases.</x:v>
      </x:c>
      <x:c r="G84" s="42" t="str">
        <x:v>All 30 functions and 32 executions pass twice with zero failures or skips.</x:v>
      </x:c>
      <x:c r="H84" s="42" t="str">
        <x:v>Both unchanged runs passed 30 functions and 32 executions with zero failures and zero skips.</x:v>
      </x:c>
      <x:c r="I84" s="42" t="str">
        <x:v>Pass</x:v>
      </x:c>
      <x:c r="J84" s="42" t="str">
        <x:v>Not applicable</x:v>
      </x:c>
      <x:c r="K84" s="42" t="str">
        <x:v>Not applicable</x:v>
      </x:c>
      <x:c r="L84" s="42" t="str">
        <x:v>Not applicable</x:v>
      </x:c>
      <x:c r="M84" s="42" t="str"/>
      <x:c r="N84" s="42" t="str"/>
      <x:c r="O84" s="42" t="str"/>
      <x:c r="P84" s="42" t="str">
        <x:v>DEF-057</x:v>
      </x:c>
      <x:c r="Q84" s="42" t="str">
        <x:v>settings_lowercase</x:v>
      </x:c>
      <x:c r="R84" s="52" t="n">
        <x:v>46269.89572916667</x:v>
      </x:c>
      <x:c r="S84" s="42" t="str">
        <x:v>A live Finder open event remains outside this hosted run.</x:v>
      </x:c>
    </x:row>
    <x:row r="85">
      <x:c r="A85" s="42" t="str">
        <x:v>TR-EXPORT-NATIVE-KEYBOARD-GREEN-001</x:v>
      </x:c>
      <x:c r="B85" s="42" t="str">
        <x:v>SET-004, XFR-001, UX-001</x:v>
      </x:c>
      <x:c r="C85" s="42" t="str">
        <x:v>dark demo build after sequential export repair, 2026-09-04</x:v>
      </x:c>
      <x:c r="D85" s="42" t="str">
        <x:v>macOS 26.4.1 dark appearance under DOCKIT_DEMO=1 with the native save panel and fixture data.</x:v>
      </x:c>
      <x:c r="E85" s="42" t="str">
        <x:v>The profile-selection sheet dismissed before the save panel and the filename field already had keyboard focus.</x:v>
      </x:c>
      <x:c r="F85" s="42" t="str">
        <x:v>Type the export filename, press Return, inspect Settings completion feedback, and read the resulting archive directly.</x:v>
      </x:c>
      <x:c r="G85" s="42" t="str">
        <x:v>Export writes one valid file, returns to the same Settings context, and reports one exported Dock.</x:v>
      </x:c>
      <x:c r="H85" s="42" t="str">
        <x:v>The keyboard path wrote a 1,119-byte version 1 archive, preserved the profile name, both application names and paths, and the unavailable app, then showed exported 1 dock in Settings.</x:v>
      </x:c>
      <x:c r="I85" s="42" t="str">
        <x:v>Pass</x:v>
      </x:c>
      <x:c r="J85" s="42" t="str">
        <x:v>Pass</x:v>
      </x:c>
      <x:c r="K85" s="42" t="str">
        <x:v>Not applicable</x:v>
      </x:c>
      <x:c r="L85" s="42" t="str">
        <x:v>Not run</x:v>
      </x:c>
      <x:c r="M85" s="42" t="str"/>
      <x:c r="N85" s="42" t="str">
        <x:v>artifacts/ui/sidebar-free/settings-export-complete-after-fix.png</x:v>
      </x:c>
      <x:c r="O85" s="42" t="str"/>
      <x:c r="P85" s="42" t="str">
        <x:v>DEF-046, DEF-051</x:v>
      </x:c>
      <x:c r="Q85" s="42" t="str">
        <x:v>root</x:v>
      </x:c>
      <x:c r="R85" s="52" t="n">
        <x:v>46269.8978125</x:v>
      </x:c>
      <x:c r="S85" s="42" t="str">
        <x:v>Pointer and accessibility-driven system-panel activation were inconsistent through the screen-control transport and are not counted as an app failure.</x:v>
      </x:c>
    </x:row>
    <x:row r="86">
      <x:c r="A86" s="42" t="str">
        <x:v>TR-NATIVE-PANEL-CUA-BLOCKED-001</x:v>
      </x:c>
      <x:c r="B86" s="42" t="str">
        <x:v>SET-004, XFR-001, XFR-003</x:v>
      </x:c>
      <x:c r="C86" s="42" t="str">
        <x:v>dark demo build after sequential export repair, 2026-09-04</x:v>
      </x:c>
      <x:c r="D86" s="42" t="str">
        <x:v>macOS 26.4.1 native save and open panels controlled through the screen-control accessibility transport.</x:v>
      </x:c>
      <x:c r="E86" s="42" t="str">
        <x:v>The native keyboard export path had already passed.</x:v>
      </x:c>
      <x:c r="F86" s="42" t="str">
        <x:v>Activate the system Save As control with pointer or accessibility routing, then exercise the import Go To panel input and action through the same transport.</x:v>
      </x:c>
      <x:c r="G86" s="42" t="str">
        <x:v>The transport delivers the same native controls and actions as direct keyboard input.</x:v>
      </x:c>
      <x:c r="H86" s="42" t="str">
        <x:v>Save As canceled unexpectedly and import Go To input or action was inconsistent. The transport behavior could not distinguish an app issue from screen-control routing.</x:v>
      </x:c>
      <x:c r="I86" s="42" t="str">
        <x:v>Blocked</x:v>
      </x:c>
      <x:c r="J86" s="42" t="str">
        <x:v>Not run</x:v>
      </x:c>
      <x:c r="K86" s="42" t="str">
        <x:v>Not applicable</x:v>
      </x:c>
      <x:c r="L86" s="42" t="str">
        <x:v>Blocked</x:v>
      </x:c>
      <x:c r="M86" s="42" t="str"/>
      <x:c r="N86" s="42" t="str"/>
      <x:c r="O86" s="42" t="str"/>
      <x:c r="P86" s="42" t="str"/>
      <x:c r="Q86" s="42" t="str">
        <x:v>root</x:v>
      </x:c>
      <x:c r="R86" s="52" t="n">
        <x:v>46269.89826388889</x:v>
      </x:c>
      <x:c r="S86" s="42" t="str">
        <x:v>No product defect is assigned from this inconclusive transport result. Fresh native pointer and accessibility testing remains open.</x:v>
      </x:c>
    </x:row>
    <x:row r="87">
      <x:c r="A87" s="42" t="str">
        <x:v>TR-ICON-PIPELINE-001</x:v>
      </x:c>
      <x:c r="B87" s="42" t="str">
        <x:v>UX-002</x:v>
      </x:c>
      <x:c r="C87" s="42" t="str">
        <x:v>icon pipeline tool source 2026-09-04</x:v>
      </x:c>
      <x:c r="D87" s="42" t="str">
        <x:v>Isolated synthetic image fixtures on macOS 26.4.1. No production master or asset catalog was read or changed.</x:v>
      </x:c>
      <x:c r="E87" s="42" t="str">
        <x:v>The validator and deterministic slot generator reject invalid masters before output and protect the input master.</x:v>
      </x:c>
      <x:c r="F87" s="42" t="str">
        <x:v>Run all icon pipeline self-tests and retain complete output.</x:v>
      </x:c>
      <x:c r="G87" s="42" t="str">
        <x:v>All 13 synthetic tests pass without reading or changing production artwork.</x:v>
      </x:c>
      <x:c r="H87" s="42" t="str">
        <x:v>All 13 synthetic tests passed. The suite covered transparency, corner paint, size, shape, corrupt input, exact slots, repeatable RGBA bytes, overwrite protection, and help errors.</x:v>
      </x:c>
      <x:c r="I87" s="42" t="str">
        <x:v>Pass</x:v>
      </x:c>
      <x:c r="J87" s="42" t="str">
        <x:v>Not applicable</x:v>
      </x:c>
      <x:c r="K87" s="42" t="str">
        <x:v>Not applicable</x:v>
      </x:c>
      <x:c r="L87" s="42" t="str">
        <x:v>Not applicable</x:v>
      </x:c>
      <x:c r="M87" s="42" t="str"/>
      <x:c r="N87" s="42" t="str"/>
      <x:c r="O87" s="42" t="str"/>
      <x:c r="P87" s="42" t="str"/>
      <x:c r="Q87" s="42" t="str">
        <x:v>root</x:v>
      </x:c>
      <x:c r="R87" s="52" t="n">
        <x:v>46269.899305555555</x:v>
      </x:c>
      <x:c r="S87" s="42" t="str">
        <x:v>Tooling pass only. It does not approve the artwork.</x:v>
      </x:c>
    </x:row>
    <x:row r="88">
      <x:c r="A88" s="42" t="str">
        <x:v>TR-ICON-DRAFT-VALIDATION-001</x:v>
      </x:c>
      <x:c r="B88" s="42" t="str">
        <x:v>UX-002</x:v>
      </x:c>
      <x:c r="C88" s="42" t="str">
        <x:v>selected white and pastel draft validation, 2026-09-04</x:v>
      </x:c>
      <x:c r="D88" s="42" t="str">
        <x:v>Read-only icon validation on macOS 26.4.1.</x:v>
      </x:c>
      <x:c r="E88" s="42" t="str">
        <x:v>The selected draft was provided to the validated pipeline without changing the master or production assets.</x:v>
      </x:c>
      <x:c r="F88" s="42" t="str">
        <x:v>Run validation only and retain its output and exit status.</x:v>
      </x:c>
      <x:c r="G88" s="42" t="str">
        <x:v>A production candidate has transparent outer corners and passes before any raster slots are written.</x:v>
      </x:c>
      <x:c r="H88" s="42" t="str">
        <x:v>Validation exited 65 because the draft is an opaque RGB image without actual transparent outer corners. No production asset changed.</x:v>
      </x:c>
      <x:c r="I88" s="42" t="str">
        <x:v>Fail</x:v>
      </x:c>
      <x:c r="J88" s="42" t="str">
        <x:v>Not run</x:v>
      </x:c>
      <x:c r="K88" s="42" t="str">
        <x:v>Not applicable</x:v>
      </x:c>
      <x:c r="L88" s="42" t="str">
        <x:v>Not applicable</x:v>
      </x:c>
      <x:c r="M88" s="42" t="str"/>
      <x:c r="N88" s="42" t="str"/>
      <x:c r="O88" s="42" t="str"/>
      <x:c r="P88" s="42" t="str">
        <x:v>DEF-050</x:v>
      </x:c>
      <x:c r="Q88" s="42" t="str">
        <x:v>root</x:v>
      </x:c>
      <x:c r="R88" s="52" t="n">
        <x:v>46269.89965277778</x:v>
      </x:c>
      <x:c r="S88" s="42" t="str">
        <x:v>The intended validator rejection is implementation evidence, not artwork approval.</x:v>
      </x:c>
    </x:row>
    <x:row r="89">
      <x:c r="A89" s="42" t="str">
        <x:v>TR-ACTIVATION-DUPLICATE-AUDIT-001</x:v>
      </x:c>
      <x:c r="B89" s="42" t="str">
        <x:v>PRF-010, PRF-025, FOC-003, REL-001</x:v>
      </x:c>
      <x:c r="C89" s="42" t="str">
        <x:v>source before duplicate-activation regression, 2026-09-04</x:v>
      </x:c>
      <x:c r="D89" s="42" t="str">
        <x:v>Static AppModel source review on macOS 26.4.1. No app launch, Focus event, or real Dock mutation.</x:v>
      </x:c>
      <x:c r="E89" s="42" t="str">
        <x:v>An activation was already in flight for the same profile and had not completed verification.</x:v>
      </x:c>
      <x:c r="F89" s="42" t="str">
        <x:v>Trace the activationLoopRunning and applyingProfileID early branch and the queued continuation result if the current switch later fails.</x:v>
      </x:c>
      <x:c r="G89" s="42" t="str">
        <x:v>Every caller receives success only after its serialized apply or equivalent-layout comparison is verified.</x:v>
      </x:c>
      <x:c r="H89" s="42" t="str">
        <x:v>The duplicate request returned true immediately and resumed matching continuations before current-switch verification, allowing false success if the in-flight apply later failed.</x:v>
      </x:c>
      <x:c r="I89" s="42" t="str">
        <x:v>Fail</x:v>
      </x:c>
      <x:c r="J89" s="42" t="str">
        <x:v>Not run</x:v>
      </x:c>
      <x:c r="K89" s="42" t="str">
        <x:v>Not run</x:v>
      </x:c>
      <x:c r="L89" s="42" t="str">
        <x:v>Not applicable</x:v>
      </x:c>
      <x:c r="M89" s="42" t="str"/>
      <x:c r="N89" s="42" t="str"/>
      <x:c r="O89" s="42" t="str"/>
      <x:c r="P89" s="42" t="str">
        <x:v>DEF-056</x:v>
      </x:c>
      <x:c r="Q89" s="42" t="str">
        <x:v>root</x:v>
      </x:c>
      <x:c r="R89" s="52" t="n">
        <x:v>46269.9</x:v>
      </x:c>
      <x:c r="S89" s="42" t="str">
        <x:v>A red model regression and root-cause fix are still required. This is source evidence only.</x:v>
      </x:c>
    </x:row>
    <x:row r="90">
      <x:c r="A90" s="42" t="str">
        <x:v>TR-ACTIVATION-RELINK-RED-001</x:v>
      </x:c>
      <x:c r="B90" s="42" t="str">
        <x:v>PRF-010, PRF-025, PRF-030, FOC-003, XFR-006, REL-001</x:v>
      </x:c>
      <x:c r="C90" s="42" t="str">
        <x:v>hosted app model before duplicate activation and relink recovery fixes, 2026-09-04</x:v>
      </x:c>
      <x:c r="D90" s="42" t="str">
        <x:v>macOS 26.4.1 under DOCKIT_DEMO=1 with integratesWithSystem=false, temporary stores, mock Dock preferences, and mock reload services.</x:v>
      </x:c>
      <x:c r="E90" s="42" t="str">
        <x:v>New regressions exercised same-profile duplicate requests during success and failure, request coalescing, direct Focus source metadata, and unavailable-app replacement save failure.</x:v>
      </x:c>
      <x:c r="F90" s="42" t="str">
        <x:v>Run the complete hosted AppModelTests and MenuLifecycleTests suite and retain the log and XCTest result bundle.</x:v>
      </x:c>
      <x:c r="G90" s="42" t="str">
        <x:v>Every activation caller waits for the verified final result, newest request metadata persists, a failed activation never reports success, and a replacement survives save failure with retry state intact.</x:v>
      </x:c>
      <x:c r="H90" s="42" t="str">
        <x:v>Thirty of 35 logical tests passed. Five logical tests failed with 18 recorded issues. The failures reproduced the premature activation results, stale source metadata, failed-activation success, and discarded replacement buffer.</x:v>
      </x:c>
      <x:c r="I90" s="42" t="str">
        <x:v>Fail</x:v>
      </x:c>
      <x:c r="J90" s="42" t="str">
        <x:v>Not applicable</x:v>
      </x:c>
      <x:c r="K90" s="42" t="str">
        <x:v>Not applicable</x:v>
      </x:c>
      <x:c r="L90" s="42" t="str">
        <x:v>Not applicable</x:v>
      </x:c>
      <x:c r="M90" s="42" t="str"/>
      <x:c r="N90" s="42" t="str"/>
      <x:c r="O90" s="42" t="str"/>
      <x:c r="P90" s="42" t="str">
        <x:v>DEF-055, DEF-056</x:v>
      </x:c>
      <x:c r="Q90" s="42" t="str">
        <x:v>activation_recovery_fix</x:v>
      </x:c>
      <x:c r="R90" s="52" t="n">
        <x:v>46269.91689814815</x:v>
      </x:c>
      <x:c r="S90" s="42" t="str">
        <x:v>Intentional red hosted model run. It did not access the real Dock or a live Focus.</x:v>
      </x:c>
    </x:row>
    <x:row r="91">
      <x:c r="A91" s="42" t="str">
        <x:v>TR-ACTIVATION-RELINK-GREEN-001</x:v>
      </x:c>
      <x:c r="B91" s="42" t="str">
        <x:v>PRF-010, PRF-025, PRF-030, FOC-003, XFR-006, REL-001</x:v>
      </x:c>
      <x:c r="C91" s="42" t="str">
        <x:v>hosted app model after duplicate activation and relink recovery fixes, 2026-09-04</x:v>
      </x:c>
      <x:c r="D91" s="42" t="str">
        <x:v>macOS 26.4.1 under DOCKIT_DEMO=1 with integratesWithSystem=false, temporary stores, mock Dock preferences, and mock reload services.</x:v>
      </x:c>
      <x:c r="E91" s="42" t="str">
        <x:v>The same-profile early-success branch was removed and relink save failure retained its editing buffer and retry gate.</x:v>
      </x:c>
      <x:c r="F91" s="42" t="str">
        <x:v>Run the complete hosted AppModelTests and MenuLifecycleTests suite with the new red regressions unchanged.</x:v>
      </x:c>
      <x:c r="G91" s="42" t="str">
        <x:v>All 35 logical tests in two suites pass with no failures or skips.</x:v>
      </x:c>
      <x:c r="H91" s="42" t="str">
        <x:v>All 35 logical tests in two suites passed with zero failures and zero skips.</x:v>
      </x:c>
      <x:c r="I91" s="42" t="str">
        <x:v>Pass</x:v>
      </x:c>
      <x:c r="J91" s="42" t="str">
        <x:v>Not applicable</x:v>
      </x:c>
      <x:c r="K91" s="42" t="str">
        <x:v>Not applicable</x:v>
      </x:c>
      <x:c r="L91" s="42" t="str">
        <x:v>Not applicable</x:v>
      </x:c>
      <x:c r="M91" s="42" t="str"/>
      <x:c r="N91" s="42" t="str"/>
      <x:c r="O91" s="42" t="str"/>
      <x:c r="P91" s="42" t="str">
        <x:v>DEF-055, DEF-056</x:v>
      </x:c>
      <x:c r="Q91" s="42" t="str">
        <x:v>activation_recovery_fix</x:v>
      </x:c>
      <x:c r="R91" s="52" t="n">
        <x:v>46269.91840277778</x:v>
      </x:c>
      <x:c r="S91" s="42" t="str">
        <x:v>Hosted model result only. The XCTest bundle reported a staging Icon carriage-return warning after success; it was not a functional test failure.</x:v>
      </x:c>
    </x:row>
    <x:row r="92">
      <x:c r="A92" s="42" t="str">
        <x:v>TR-ACTIVATION-RELINK-GREEN-002</x:v>
      </x:c>
      <x:c r="B92" s="42" t="str">
        <x:v>PRF-010, PRF-025, PRF-030, FOC-003, XFR-006, REL-001</x:v>
      </x:c>
      <x:c r="C92" s="42" t="str">
        <x:v>unchanged hosted app model repeat after duplicate activation and relink recovery fixes, 2026-09-04</x:v>
      </x:c>
      <x:c r="D92" s="42" t="str">
        <x:v>macOS 26.4.1 under DOCKIT_DEMO=1 with integratesWithSystem=false, temporary stores, mock Dock preferences, and mock reload services.</x:v>
      </x:c>
      <x:c r="E92" s="42" t="str">
        <x:v>No source changes followed the first green run.</x:v>
      </x:c>
      <x:c r="F92" s="42" t="str">
        <x:v>Repeat the complete hosted AppModelTests and MenuLifecycleTests suite.</x:v>
      </x:c>
      <x:c r="G92" s="42" t="str">
        <x:v>All 35 logical tests in two suites pass again with no failures or skips.</x:v>
      </x:c>
      <x:c r="H92" s="42" t="str">
        <x:v>All 35 logical tests in two suites passed again with zero failures and zero skips.</x:v>
      </x:c>
      <x:c r="I92" s="42" t="str">
        <x:v>Pass</x:v>
      </x:c>
      <x:c r="J92" s="42" t="str">
        <x:v>Not applicable</x:v>
      </x:c>
      <x:c r="K92" s="42" t="str">
        <x:v>Not applicable</x:v>
      </x:c>
      <x:c r="L92" s="42" t="str">
        <x:v>Not applicable</x:v>
      </x:c>
      <x:c r="M92" s="42" t="str"/>
      <x:c r="N92" s="42" t="str"/>
      <x:c r="O92" s="42" t="str"/>
      <x:c r="P92" s="42" t="str">
        <x:v>DEF-055, DEF-056</x:v>
      </x:c>
      <x:c r="Q92" s="42" t="str">
        <x:v>activation_recovery_fix</x:v>
      </x:c>
      <x:c r="R92" s="52" t="n">
        <x:v>46269.91886574074</x:v>
      </x:c>
      <x:c r="S92" s="42" t="str">
        <x:v>Repeated hosted model result only. No real Dock or live Focus operation occurred.</x:v>
      </x:c>
    </x:row>
    <x:row r="93">
      <x:c r="A93" s="42" t="str">
        <x:v>TR-LIQUID-GLASS-DEFAULT-FIT-001</x:v>
      </x:c>
      <x:c r="B93" s="42" t="str">
        <x:v>UX-003</x:v>
      </x:c>
      <x:c r="C93" s="42" t="str">
        <x:v>unsigned demo build after fixed-chrome Liquid Glass implementation, 2026-09-04</x:v>
      </x:c>
      <x:c r="D93" s="42" t="str">
        <x:v>macOS 26.4.1 light appearance at a 620 by 292 point window, including a 32 point title bar.</x:v>
      </x:c>
      <x:c r="E93" s="42" t="str">
        <x:v>The work fixture used a short profile name, four preview items, and no error state.</x:v>
      </x:c>
      <x:c r="F93" s="42" t="str">
        <x:v>Open the editor at its default 620 by 260 point content size, inspect the screenshot, and inspect the accessibility hierarchy for the editor content.</x:v>
      </x:c>
      <x:c r="G93" s="42" t="str">
        <x:v>The default size selects the intended layout with fixed native chrome above an ordinary adaptive content scroller.</x:v>
      </x:c>
      <x:c r="H93" s="42" t="str">
        <x:v>The entire editor content appeared as one scroll view, so the intended fixed-chrome layout was not selected at the default size. The same build selected it only after increasing content height to about 368 points.</x:v>
      </x:c>
      <x:c r="I93" s="42" t="str">
        <x:v>Fail</x:v>
      </x:c>
      <x:c r="J93" s="42" t="str">
        <x:v>Fail</x:v>
      </x:c>
      <x:c r="K93" s="42" t="str">
        <x:v>Not run</x:v>
      </x:c>
      <x:c r="L93" s="42" t="str">
        <x:v>Not run</x:v>
      </x:c>
      <x:c r="M93" s="42" t="str">
        <x:v>artifacts/ui/sidebar-free/glass-default-height-before-fix.png</x:v>
      </x:c>
      <x:c r="N93" s="42" t="str"/>
      <x:c r="O93" s="42" t="str"/>
      <x:c r="P93" s="42" t="str">
        <x:v>DEF-059</x:v>
      </x:c>
      <x:c r="Q93" s="42" t="str">
        <x:v>root</x:v>
      </x:c>
      <x:c r="R93" s="52" t="n">
        <x:v>46269.92083333333</x:v>
      </x:c>
      <x:c r="S93" s="42" t="str">
        <x:v>The separate 620 by 400 point screenshot selected the intended fixed region. The possible cyan-on-blue apply contrast concern is not logged as a defect until it is measured and retested.</x:v>
      </x:c>
    </x:row>
    <x:row r="94">
      <x:c r="A94" s="42" t="str">
        <x:v>TR-LEDGER-LIQUID-CHECKPOINT-001</x:v>
      </x:c>
      <x:c r="B94" s="42" t="str">
        <x:v>UX-003, MOT-005, PRF-010, PRF-025, PRF-030, FOC-003, XFR-006, REL-001</x:v>
      </x:c>
      <x:c r="C94" s="42" t="str">
        <x:v>canonical ledger after direction, activation, relink, and default-fit updates, 2026-09-04</x:v>
      </x:c>
      <x:c r="D94" s="42" t="str">
        <x:v>Bounded spreadsheet renders inspected at original resolution on macOS 26.4.1.</x:v>
      </x:c>
      <x:c r="E94" s="42" t="str">
        <x:v>The canonical workbook passed story, run, defect, evidence, decision, reference, and formula validation.</x:v>
      </x:c>
      <x:c r="F94" s="42" t="str">
        <x:v>Render the two new story definitions separately from the affected verdict and notes columns, inspect every cell at original resolution, and compare the text with the underlying workbook rows.</x:v>
      </x:c>
      <x:c r="G94" s="42" t="str">
        <x:v>All text is readable without clipping, runtime limits remain explicit, the two model defects are Fixed rather than Closed, the default-fit failure remains open, and no story is marked Verified.</x:v>
      </x:c>
      <x:c r="H94" s="42" t="str">
        <x:v>Both bounded renders are readable at original resolution. They show UX-003 failing on default fit, MOT-005 entirely Not run, the repeated model passes, and all remaining live or visual gates without claiming product completion.</x:v>
      </x:c>
      <x:c r="I94" s="42" t="str">
        <x:v>Pass</x:v>
      </x:c>
      <x:c r="J94" s="42" t="str">
        <x:v>Pass</x:v>
      </x:c>
      <x:c r="K94" s="42" t="str">
        <x:v>Not applicable</x:v>
      </x:c>
      <x:c r="L94" s="42" t="str">
        <x:v>Not applicable</x:v>
      </x:c>
      <x:c r="M94" s="42" t="str"/>
      <x:c r="N94" s="42" t="str">
        <x:v>artifacts/ledger/Stories-activation-glass-checkpoint.png</x:v>
      </x:c>
      <x:c r="O94" s="42" t="str"/>
      <x:c r="P94" s="42" t="str"/>
      <x:c r="Q94" s="42" t="str">
        <x:v>blackout_benchmark_resume</x:v>
      </x:c>
      <x:c r="R94" s="52" t="n">
        <x:v>46269.92291666667</x:v>
      </x:c>
      <x:c r="S94" s="42" t="str">
        <x:v>This verifies canonical workbook readability and status boundaries only. It does not verify the application UI, motion, real Dock, or live Focus.</x:v>
      </x:c>
    </x:row>
    <x:row r="95">
      <x:c r="A95" s="42" t="str">
        <x:v>TR-REFERENCE-VIDEO-INDEX-001</x:v>
      </x:c>
      <x:c r="B95" s="42" t="str">
        <x:v>MOT-005</x:v>
      </x:c>
      <x:c r="C95" s="42" t="str">
        <x:v>reference video indexing tool, 2026-09-04</x:v>
      </x:c>
      <x:c r="D95" s="42" t="str">
        <x:v>Local read-only analysis of the supplied 31,315,297-byte, 2160 by 2160 reference video.</x:v>
      </x:c>
      <x:c r="E95" s="42" t="str">
        <x:v>The source SHA-256 is c99141856af2affbb5a7e5444b1dda49c8a86c3fb4baeff91b2d830d4edd3396 and no application recording has been attached.</x:v>
      </x:c>
      <x:c r="F95" s="42" t="str">
        <x:v>Run all six tool tests, index every decoded source frame, verify contiguous zero-based indexes and strictly increasing original presentation timestamps, extract frames 0 through 5 losslessly, and generate explicit review coverage.</x:v>
      </x:c>
      <x:c r="G95" s="42" t="str">
        <x:v>The tool retains all 2,374 decoded frames with original presentation timestamps, rejects source drift and invalid extraction, and reports every unreviewed frame without claiming completion.</x:v>
      </x:c>
      <x:c r="H95" s="42" t="str">
        <x:v>All six tests passed. The manifest contains 2,374 contiguous frames with strictly increasing original timestamps and two original duration values. Frames 0 through 5 were extracted as 2160 by 2160 PNGs. Coverage reports 0 reviewed and 2,374 unreviewed frames.</x:v>
      </x:c>
      <x:c r="I95" s="42" t="str">
        <x:v>Pass</x:v>
      </x:c>
      <x:c r="J95" s="42" t="str">
        <x:v>Not run</x:v>
      </x:c>
      <x:c r="K95" s="42" t="str">
        <x:v>Not run</x:v>
      </x:c>
      <x:c r="L95" s="42" t="str">
        <x:v>Not applicable</x:v>
      </x:c>
      <x:c r="M95" s="42" t="str"/>
      <x:c r="N95" s="42" t="str"/>
      <x:c r="O95" s="42" t="str"/>
      <x:c r="P95" s="42" t="str"/>
      <x:c r="Q95" s="42" t="str">
        <x:v>liquid_glass_feasibility and blackout_benchmark_resume</x:v>
      </x:c>
      <x:c r="R95" s="52" t="n">
        <x:v>46269.92291666667</x:v>
      </x:c>
      <x:c r="S95" s="42" t="str">
        <x:v>This passes the indexing and evidence-integrity tool only. It does not satisfy the full frame comparison story.</x:v>
      </x:c>
    </x:row>
    <x:row r="96">
      <x:c r="A96" s="42" t="str">
        <x:v>TR-REFERENCE-DETAIL-VISUAL-001</x:v>
      </x:c>
      <x:c r="B96" s="42" t="str">
        <x:v>PRF-004, PRF-023, PRF-028, MEN-005, UX-003, MOT-005</x:v>
      </x:c>
      <x:c r="C96" s="42" t="str">
        <x:v>unsigned light demo before reference-detail corrections, 2026-09-04</x:v>
      </x:c>
      <x:c r="D96" s="42" t="str">
        <x:v>macOS 26.4.1 light appearance with the editor at 620 by 292 points total. Reference frame 0 was inspected at its original 2160 by 2160 resolution.</x:v>
      </x:c>
      <x:c r="E96" s="42" t="str">
        <x:v>The selected profile had a long name, one visible app, two spacers, and one additional app. No error state was present.</x:v>
      </x:c>
      <x:c r="F96" s="42" t="str">
        <x:v>Inspect the fresh dockit screenshot and source frame 0 at original resolution. Compare spacer treatment, profile identity shape and backing, profile picker placement and chevrons, and action control treatment.</x:v>
      </x:c>
      <x:c r="G96" s="42" t="str">
        <x:v>The implementation keeps native macOS behavior while matching the approved reference details: softly filled spacer slots with a center rule, consistent identity squircles with visible backing, the profile picker in the traffic-light row with paired chevrons, and fixed native action controls at default size.</x:v>
      </x:c>
      <x:c r="H96" s="42" t="str">
        <x:v>The preview uses dashed empty spacer rectangles. Identity backing disappears on white and the picker or menu swatch shape does not match the identity squircle. The picker occupies an extra body row and uses a single down chevron. Default-size fallback leaves the action controls small and ordinary.</x:v>
      </x:c>
      <x:c r="I96" s="42" t="str">
        <x:v>Fail</x:v>
      </x:c>
      <x:c r="J96" s="42" t="str">
        <x:v>Fail</x:v>
      </x:c>
      <x:c r="K96" s="42" t="str">
        <x:v>Not run</x:v>
      </x:c>
      <x:c r="L96" s="42" t="str">
        <x:v>Not run</x:v>
      </x:c>
      <x:c r="M96" s="42" t="str">
        <x:v>artifacts/ui/sidebar-free/reference-detail-before.png</x:v>
      </x:c>
      <x:c r="N96" s="42" t="str"/>
      <x:c r="O96" s="42" t="str"/>
      <x:c r="P96" s="42" t="str">
        <x:v>DEF-059, DEF-060, DEF-061, DEF-062, DEF-063</x:v>
      </x:c>
      <x:c r="Q96" s="42" t="str">
        <x:v>root and blackout_benchmark_resume</x:v>
      </x:c>
      <x:c r="R96" s="52" t="n">
        <x:v>46269.925</x:v>
      </x:c>
      <x:c r="S96" s="42" t="str">
        <x:v>This is one direct frame comparison, not the required 2,374-frame review. No fixes are verified here.</x:v>
      </x:c>
    </x:row>
    <x:row r="97">
      <x:c r="A97" s="42" t="str">
        <x:v>TR-ICON-CANDIDATE-REJECTIONS-002</x:v>
      </x:c>
      <x:c r="B97" s="42" t="str">
        <x:v>UX-002</x:v>
      </x:c>
      <x:c r="C97" s="42" t="str">
        <x:v>two generated transparency-cleanup candidates, 2026-09-04</x:v>
      </x:c>
      <x:c r="D97" s="42" t="str">
        <x:v>Read-only icon validation and direct visual inspection. No production asset was replaced.</x:v>
      </x:c>
      <x:c r="E97" s="42" t="str">
        <x:v>The first white and pastel dockling direction remains selected, but neither candidate had passed the transparent-corner gate.</x:v>
      </x:c>
      <x:c r="F97" s="42" t="str">
        <x:v>Inspect both generated candidates and run the existing production-master validation rules without installing either file.</x:v>
      </x:c>
      <x:c r="G97" s="42" t="str">
        <x:v>A candidate has genuine transparent outer corners, no painted checkerboard, no white edge flecks, and can proceed to the deterministic size ladder.</x:v>
      </x:c>
      <x:c r="H97" s="42" t="str">
        <x:v>Candidate exec-29665bb6-b423-4173-b27d-14f98769eddf retained four opaque corner samples and visible white flecks. Candidate exec-0be64e18-4421-4b1e-ab02-456bf1df0eea was opaque RGB with a painted checkerboard. Both were rejected and neither was installed.</x:v>
      </x:c>
      <x:c r="I97" s="42" t="str">
        <x:v>Fail</x:v>
      </x:c>
      <x:c r="J97" s="42" t="str">
        <x:v>Fail</x:v>
      </x:c>
      <x:c r="K97" s="42" t="str">
        <x:v>Not applicable</x:v>
      </x:c>
      <x:c r="L97" s="42" t="str">
        <x:v>Not run</x:v>
      </x:c>
      <x:c r="M97" s="42" t="str"/>
      <x:c r="N97" s="42" t="str"/>
      <x:c r="O97" s="42" t="str"/>
      <x:c r="P97" s="42" t="str">
        <x:v>DEF-050</x:v>
      </x:c>
      <x:c r="Q97" s="42" t="str">
        <x:v>root</x:v>
      </x:c>
      <x:c r="R97" s="52" t="n">
        <x:v>46269.925</x:v>
      </x:c>
      <x:c r="S97" s="42" t="str">
        <x:v>The generated files remain in the task's generated-images directory. Their review is summarized in the linked audit because they are not workspace production assets.</x:v>
      </x:c>
    </x:row>
    <x:row r="98">
      <x:c r="A98" s="42" t="str">
        <x:v>TR-LIQUID-GLASS-FIRST-RETEST-001</x:v>
      </x:c>
      <x:c r="B98" s="42" t="str">
        <x:v>PRF-004, PRF-023, PRF-028, MEN-005, UX-003</x:v>
      </x:c>
      <x:c r="C98" s="42" t="str">
        <x:v>live light demo after the first reference-detail repair, 2026-09-04</x:v>
      </x:c>
      <x:c r="D98" s="42" t="str">
        <x:v>macOS 26.4.1 light appearance at the default 620 by 292 point window size with active-window traffic lights visible.</x:v>
      </x:c>
      <x:c r="E98" s="42" t="str">
        <x:v>The work profile contained four items including one regular spacer. The repaired fixed-chrome branch and toolbar picker were built and launched.</x:v>
      </x:c>
      <x:c r="F98" s="42" t="str">
        <x:v>Open the work profile at default size, inspect fixed actions and preview details, focus the window, then compare the profile picker and action contrast with source frame 0.</x:v>
      </x:c>
      <x:c r="G98" s="42" t="str">
        <x:v>Default fit, identity backing, squircle switching indicator, spacer treatment, paired chevrons, and native action controls all remain legible in the focused window.</x:v>
      </x:c>
      <x:c r="H98" s="42" t="str">
        <x:v>Default fit, the visible identity backing, squircle picker swatch, and filled spacer with center rule now appear. The native Menu bridge discards the custom paired-chevron label. The prominent Apply control uses cyan text on a cyan-blue fill and is difficult to read when focused.</x:v>
      </x:c>
      <x:c r="I98" s="42" t="str">
        <x:v>Fail</x:v>
      </x:c>
      <x:c r="J98" s="42" t="str">
        <x:v>Fail</x:v>
      </x:c>
      <x:c r="K98" s="42" t="str">
        <x:v>Not run</x:v>
      </x:c>
      <x:c r="L98" s="42" t="str">
        <x:v>Fail</x:v>
      </x:c>
      <x:c r="M98" s="42" t="str">
        <x:v>artifacts/ui/sidebar-free/reference-detail-before.png</x:v>
      </x:c>
      <x:c r="N98" s="42" t="str">
        <x:v>artifacts/ui/sidebar-free/work-reference-steady-after.png</x:v>
      </x:c>
      <x:c r="O98" s="42" t="str"/>
      <x:c r="P98" s="42" t="str">
        <x:v>DEF-059, DEF-060, DEF-061, DEF-062, DEF-063, DEF-064</x:v>
      </x:c>
      <x:c r="Q98" s="42" t="str">
        <x:v>root</x:v>
      </x:c>
      <x:c r="R98" s="52" t="n">
        <x:v>46269.92916666667</x:v>
      </x:c>
      <x:c r="S98" s="42" t="str">
        <x:v>This is a partial live visual retest. Dark appearance, small spacers, minimum size, Reduce Transparency, Increased Contrast, keyboard, and VoiceOver remain open.</x:v>
      </x:c>
    </x:row>
    <x:row r="99">
      <x:c r="A99" s="42" t="str">
        <x:v>TR-SETTINGS-LIGHT-LAYOUT-001</x:v>
      </x:c>
      <x:c r="B99" s="42" t="str">
        <x:v>SET-001, SET-002, SET-003</x:v>
      </x:c>
      <x:c r="C99" s="42" t="str">
        <x:v>current light demo settings, 2026-09-04</x:v>
      </x:c>
      <x:c r="D99" s="42" t="str">
        <x:v>macOS 26.4.1 light appearance at 520 by 512 points and 620 by 652 points total window sizes.</x:v>
      </x:c>
      <x:c r="E99" s="42" t="str">
        <x:v>The one-page Settings implementation was launched from the current demo build.</x:v>
      </x:c>
      <x:c r="F99" s="42" t="str">
        <x:v>Inspect the top and lower settings regions at the compact size, scroll to About, then inspect the larger default window.</x:v>
      </x:c>
      <x:c r="G99" s="42" t="str">
        <x:v>General, Focus, Data and Privacy, and About remain in one sidebar-free page. Content scrolls to the end without clipped or ellipsized app-authored text.</x:v>
      </x:c>
      <x:c r="H99" s="42" t="str">
        <x:v>The light page remains sidebar-free, uses grouped system rows, and scrolls through About at the compact size. The larger window keeps the same groups and scrollbar. No app-authored text truncation is visible in these states.</x:v>
      </x:c>
      <x:c r="I99" s="42" t="str">
        <x:v>Not run</x:v>
      </x:c>
      <x:c r="J99" s="42" t="str">
        <x:v>Pass</x:v>
      </x:c>
      <x:c r="K99" s="42" t="str">
        <x:v>Not applicable</x:v>
      </x:c>
      <x:c r="L99" s="42" t="str">
        <x:v>Not run</x:v>
      </x:c>
      <x:c r="M99" s="42" t="str"/>
      <x:c r="N99" s="42" t="str">
        <x:v>artifacts/ui/sidebar-free/settings-light-default-current.png</x:v>
      </x:c>
      <x:c r="O99" s="42" t="str"/>
      <x:c r="P99" s="42" t="str"/>
      <x:c r="Q99" s="42" t="str">
        <x:v>root and blackout_benchmark_resume</x:v>
      </x:c>
      <x:c r="R99" s="52" t="n">
        <x:v>46269.92916666667</x:v>
      </x:c>
      <x:c r="S99" s="42" t="str">
        <x:v>Controls were not exercised. Keyboard order, VoiceOver, large text, dark regression, Focus availability states, login approval, and system-settings actions remain open.</x:v>
      </x:c>
    </x:row>
    <x:row r="100">
      <x:c r="A100" s="42" t="str">
        <x:v>TR-SETTINGS-LIGHT-ABOUT-001</x:v>
      </x:c>
      <x:c r="B100" s="42" t="str">
        <x:v>SET-004, UX-002</x:v>
      </x:c>
      <x:c r="C100" s="42" t="str">
        <x:v>current light demo settings with old icon, 2026-09-04</x:v>
      </x:c>
      <x:c r="D100" s="42" t="str">
        <x:v>macOS 26.4.1 light appearance at the compact settings size, scrolled to About.</x:v>
      </x:c>
      <x:c r="E100" s="42" t="str">
        <x:v>The icon production gate remained open and no generated candidate had been installed.</x:v>
      </x:c>
      <x:c r="F100" s="42" t="str">
        <x:v>Scroll to About, inspect app name, version, platform, distribution, privacy copy, and icon.</x:v>
      </x:c>
      <x:c r="G100" s="42" t="str">
        <x:v>All About text remains visible and lowercase, and the final validated white and pastel dockling icon appears.</x:v>
      </x:c>
      <x:c r="H100" s="42" t="str">
        <x:v>The text remains visible and lowercase with no ellipsis. The old app icon remains, so the About and icon visual gate still fails.</x:v>
      </x:c>
      <x:c r="I100" s="42" t="str">
        <x:v>Not run</x:v>
      </x:c>
      <x:c r="J100" s="42" t="str">
        <x:v>Fail</x:v>
      </x:c>
      <x:c r="K100" s="42" t="str">
        <x:v>Not applicable</x:v>
      </x:c>
      <x:c r="L100" s="42" t="str">
        <x:v>Not run</x:v>
      </x:c>
      <x:c r="M100" s="42" t="str"/>
      <x:c r="N100" s="42" t="str">
        <x:v>artifacts/ui/sidebar-free/settings-light-minimum-lower.png</x:v>
      </x:c>
      <x:c r="O100" s="42" t="str"/>
      <x:c r="P100" s="42" t="str">
        <x:v>DEF-050</x:v>
      </x:c>
      <x:c r="Q100" s="42" t="str">
        <x:v>root and blackout_benchmark_resume</x:v>
      </x:c>
      <x:c r="R100" s="52" t="n">
        <x:v>46269.92916666667</x:v>
      </x:c>
      <x:c r="S100" s="42" t="str">
        <x:v>Transfer actions were not exercised in this run.</x:v>
      </x:c>
    </x:row>
    <x:row r="101">
      <x:c r="A101" s="42" t="str">
        <x:v>TR-REFERENCE-FRAME-000000-REVIEW-001</x:v>
      </x:c>
      <x:c r="B101" s="42" t="str">
        <x:v>MOT-005, PRF-004, PRF-023, PRF-028, MEN-005, UX-003</x:v>
      </x:c>
      <x:c r="C101" s="42" t="str">
        <x:v>frame 0 original-timestamp reference comparison, 2026-09-04</x:v>
      </x:c>
      <x:c r="D101" s="42" t="str">
        <x:v>Original 2160 by 2160 source frame 0 compared with a fresh 620 by 292 point light demo capture.</x:v>
      </x:c>
      <x:c r="E101" s="42" t="str">
        <x:v>Frame 0 was extracted losslessly and both images were inspected directly. Fixture state and camera-scale differences were documented before comparison.</x:v>
      </x:c>
      <x:c r="F101" s="42" t="str">
        <x:v>Annotate frame 0 with its source identity, direct inspection evidence, current app comparison evidence, static geometry differences, intentional differences, and comparison limits. Regenerate coverage.</x:v>
      </x:c>
      <x:c r="G101" s="42" t="str">
        <x:v>The annotation records one truthful outcome without treating fixture differences as implementation matches or advancing unreviewed frames.</x:v>
      </x:c>
      <x:c r="H101" s="42" t="str">
        <x:v>Frame 0 is recorded as a difference with explicit evidence and limits. Coverage advanced to 1 reviewed frame and 2,373 unreviewed frames. Complete remains false.</x:v>
      </x:c>
      <x:c r="I101" s="42" t="str">
        <x:v>Not run</x:v>
      </x:c>
      <x:c r="J101" s="42" t="str">
        <x:v>Fail</x:v>
      </x:c>
      <x:c r="K101" s="42" t="str">
        <x:v>Not run</x:v>
      </x:c>
      <x:c r="L101" s="42" t="str">
        <x:v>Not applicable</x:v>
      </x:c>
      <x:c r="M101" s="42" t="str">
        <x:v>artifacts/ui/sidebar-free/work-reference-before.png</x:v>
      </x:c>
      <x:c r="N101" s="42" t="str">
        <x:v>artifacts/video-reference/frames/frame-000000.png</x:v>
      </x:c>
      <x:c r="O101" s="42" t="str"/>
      <x:c r="P101" s="42" t="str">
        <x:v>DEF-059, DEF-060, DEF-061, DEF-062, DEF-063</x:v>
      </x:c>
      <x:c r="Q101" s="42" t="str">
        <x:v>root</x:v>
      </x:c>
      <x:c r="R101" s="52" t="n">
        <x:v>46269.92763888889</x:v>
      </x:c>
      <x:c r="S101" s="42" t="str">
        <x:v>One of 2,374 frames is formally reviewed. This is static geometry evidence, not motion or activation evidence.</x:v>
      </x:c>
    </x:row>
    <x:row r="102">
      <x:c r="A102" s="42" t="str">
        <x:v>TR-PROFILE-COLOR-PALETTE-001</x:v>
      </x:c>
      <x:c r="B102" s="42" t="str">
        <x:v>PRF-004, PRF-023, MEN-005, UX-003</x:v>
      </x:c>
      <x:c r="C102" s="42" t="str">
        <x:v>current profile color style implementation, 2026-09-04</x:v>
      </x:c>
      <x:c r="D102" s="42" t="str">
        <x:v>Hosted macOS model tests with no real Dock mutation, followed by a source, test, log, and screenshot audit.</x:v>
      </x:c>
      <x:c r="E102" s="42" t="str">
        <x:v>The equal-lightness profile palette and shared identity renderer were implemented. The app action accent remained unchanged.</x:v>
      </x:c>
      <x:c r="F102" s="42" t="str">
        <x:v>Run ProfileColorStyleTests, inspect every profile color for sRGB gamut and rendering size, calculate graphical contrast against the white badge base, and compare the rendered identity marks in the current light editor captures.</x:v>
      </x:c>
      <x:c r="G102" s="42" t="str">
        <x:v>Every profile color stays in gamut, uses the same logical identity size, follows the approved relative chroma rule, and reaches at least 3:1 graphical contrast against the decorative white badge base.</x:v>
      </x:c>
      <x:c r="H102" s="42" t="str">
        <x:v>Two of two tests passed. All nine colors remain in gamut and range from 3.215:1 to 3.634:1 graphical contrast against the white badge base. The colors contain no text, so this result does not establish action-label or other text contrast.</x:v>
      </x:c>
      <x:c r="I102" s="42" t="str">
        <x:v>Pass</x:v>
      </x:c>
      <x:c r="J102" s="42" t="str">
        <x:v>Not run</x:v>
      </x:c>
      <x:c r="K102" s="42" t="str">
        <x:v>Not applicable</x:v>
      </x:c>
      <x:c r="L102" s="42" t="str">
        <x:v>Not run</x:v>
      </x:c>
      <x:c r="M102" s="42"/>
      <x:c r="N102" s="42" t="str">
        <x:v>artifacts/ui/sidebar-free/liquid-glass-review.md</x:v>
      </x:c>
      <x:c r="O102" s="42"/>
      <x:c r="P102" s="42"/>
      <x:c r="Q102" s="42" t="str">
        <x:v>root</x:v>
      </x:c>
      <x:c r="R102" s="52" t="n">
        <x:v>46269.93263888889</x:v>
      </x:c>
      <x:c r="S102" s="42" t="str">
        <x:v>Root reviewed the implementation, tests, and passing log. Dark appearance, native menu surfaces, Increased Contrast, Reduced Transparency, action text contrast, and VoiceOver remain open.</x:v>
      </x:c>
    </x:row>
    <x:row r="103">
      <x:c r="A103" s="42" t="str">
        <x:v>TR-LONG-NAME-MINIMUM-LIGHT-001</x:v>
      </x:c>
      <x:c r="B103" s="42" t="str">
        <x:v>PRF-003, PRF-023, PRF-029, UX-001, UX-003</x:v>
      </x:c>
      <x:c r="C103" s="42" t="str">
        <x:v>current light demo after the first fixed-chrome repair, 2026-09-04</x:v>
      </x:c>
      <x:c r="D103" s="42" t="str">
        <x:v>macOS 26.4.1 light appearance in a 520 by 312 pixel capture.</x:v>
      </x:c>
      <x:c r="E103" s="42" t="str">
        <x:v>The selected profile name contained the policy maximum of 32 grapheme clusters and the fixed editor actions were visible.</x:v>
      </x:c>
      <x:c r="F103" s="42" t="str">
        <x:v>Open the long-name profile at the tested minimum width and inspect the complete titlebar name, body name, profile details, and adaptive action layout.</x:v>
      </x:c>
      <x:c r="G103" s="42" t="str">
        <x:v>The 32-grapheme profile name remains complete without overflow dots, and the controls stack when horizontal room is insufficient.</x:v>
      </x:c>
      <x:c r="H103" s="42" t="str">
        <x:v>The full 32-grapheme name is visible in the titlebar and body, and the controls stack below the identity area. No app-authored overflow dots are visible in this state.</x:v>
      </x:c>
      <x:c r="I103" s="42" t="str">
        <x:v>Not run</x:v>
      </x:c>
      <x:c r="J103" s="42" t="str">
        <x:v>Pass</x:v>
      </x:c>
      <x:c r="K103" s="42" t="str">
        <x:v>Not applicable</x:v>
      </x:c>
      <x:c r="L103" s="42" t="str">
        <x:v>Not run</x:v>
      </x:c>
      <x:c r="M103" s="42"/>
      <x:c r="N103" s="42" t="str">
        <x:v>artifacts/ui/sidebar-free/long-name-minimum-first-after.png</x:v>
      </x:c>
      <x:c r="O103" s="42"/>
      <x:c r="P103" s="42" t="str">
        <x:v>DEF-064</x:v>
      </x:c>
      <x:c r="Q103" s="42" t="str">
        <x:v>root and blackout_benchmark_resume</x:v>
      </x:c>
      <x:c r="R103" s="52" t="n">
        <x:v>46269.93125</x:v>
      </x:c>
      <x:c r="S103" s="42" t="str">
        <x:v>This proves one maximum-length ASCII name in one light appearance state. Typing enforcement, composed Unicode, persistence, menus, dark appearance, large text, keyboard, and VoiceOver remain open. The capture predates the pending Apply contrast correction.</x:v>
      </x:c>
    </x:row>
    <x:row r="104">
      <x:c r="A104" s="42" t="str">
        <x:v>TR-REFERENCE-FRAME-000480-PREFLIGHT-001</x:v>
      </x:c>
      <x:c r="B104" s="42" t="str">
        <x:v>MOT-005</x:v>
      </x:c>
      <x:c r="C104" s="42" t="str">
        <x:v>immutable source video index and extracted original-resolution frame, 2026-09-04</x:v>
      </x:c>
      <x:c r="D104" s="42" t="str">
        <x:v>Read-only review of source frame 480 at 2160 by 2160 pixels and its original presentation timestamp.</x:v>
      </x:c>
      <x:c r="E104" s="42" t="str">
        <x:v>The source video hash and 2,374-frame original-PTS manifest had already been validated. No equivalent current menu capture was available.</x:v>
      </x:c>
      <x:c r="F104" s="42" t="str">
        <x:v>Open source frame 480 at original resolution, identify its edit Dock menu state, and check whether an equivalent current app capture exists for comparison.</x:v>
      </x:c>
      <x:c r="G104" s="42" t="str">
        <x:v>A frame counts as reviewed only after its source state is compared with an equivalent current dockit state and the outcome is recorded.</x:v>
      </x:c>
      <x:c r="H104" s="42" t="str">
        <x:v>The source frame was inspected and shows the edit Dock menu with Add Applications, Add Spacer choices, and Replace with Current Dock. No equivalent current menu capture exists, so frame 480 remains formally unreviewed.</x:v>
      </x:c>
      <x:c r="I104" s="42" t="str">
        <x:v>Not run</x:v>
      </x:c>
      <x:c r="J104" s="42" t="str">
        <x:v>Blocked</x:v>
      </x:c>
      <x:c r="K104" s="42" t="str">
        <x:v>Not run</x:v>
      </x:c>
      <x:c r="L104" s="42" t="str">
        <x:v>Not run</x:v>
      </x:c>
      <x:c r="M104" s="42"/>
      <x:c r="N104" s="42" t="str">
        <x:v>artifacts/video-reference/frames/frame-000480.png</x:v>
      </x:c>
      <x:c r="O104" s="42"/>
      <x:c r="P104" s="42"/>
      <x:c r="Q104" s="42" t="str">
        <x:v>root</x:v>
      </x:c>
      <x:c r="R104" s="52" t="n">
        <x:v>46269.93125</x:v>
      </x:c>
      <x:c r="S104" s="42" t="str">
        <x:v>Formal coverage remains 1 reviewed and 2,373 unreviewed. This preflight does not alter coverage.json or establish product equivalence.</x:v>
      </x:c>
    </x:row>
    <x:row r="105">
      <x:c r="A105" s="42" t="str">
        <x:v>TR-SMALL-SPACER-KEYBOARD-LIGHT-001</x:v>
      </x:c>
      <x:c r="B105" s="42" t="str">
        <x:v>PRF-020, PRF-021, PRF-022, PRF-023, PRF-028, PRF-030, MEN-004</x:v>
      </x:c>
      <x:c r="C105" s="42" t="str">
        <x:v>live light demo before the unified title-label cleanup, 2026-09-04</x:v>
      </x:c>
      <x:c r="D105" s="42" t="str">
        <x:v>macOS 26.4.1 light appearance at 520 by 312 pixels, using native keyboard commands in an inactive selected profile.</x:v>
      </x:c>
      <x:c r="E105" s="42" t="str">
        <x:v>The selected profile was inactive, contained two saved items, and showed no pending save error.</x:v>
      </x:c>
      <x:c r="F105" s="42" t="str">
        <x:v>Insert a small spacer through the native edit menu, select it, then press Command-Option-Left to move it before Notes.</x:v>
      </x:c>
      <x:c r="G105" s="42" t="str">
        <x:v>The small spacer appears with its distinct narrow treatment, moves one position through the keyboard command, stays in the inactive saved profile, and does not apply that profile.</x:v>
      </x:c>
      <x:c r="H105" s="42" t="str">
        <x:v>The small spacer was inserted, selected, and moved before Notes. The item count became three, the profile remained inactive, and the editor reported saved with an explicit prompt to apply separately.</x:v>
      </x:c>
      <x:c r="I105" s="42" t="str">
        <x:v>Pass</x:v>
      </x:c>
      <x:c r="J105" s="42" t="str">
        <x:v>Pass</x:v>
      </x:c>
      <x:c r="K105" s="42" t="str">
        <x:v>Not run</x:v>
      </x:c>
      <x:c r="L105" s="42" t="str">
        <x:v>Pass</x:v>
      </x:c>
      <x:c r="M105" s="42" t="str"/>
      <x:c r="N105" s="42" t="str">
        <x:v>artifacts/ui/sidebar-free/small-spacer-keyboard-light.png</x:v>
      </x:c>
      <x:c r="O105" s="42" t="str"/>
      <x:c r="P105" s="42" t="str"/>
      <x:c r="Q105" s="42" t="str">
        <x:v>root</x:v>
      </x:c>
      <x:c r="R105" s="52" t="n">
        <x:v>46269.93472222222</x:v>
      </x:c>
      <x:c r="S105" s="42" t="str">
        <x:v>This covers one light-appearance small-spacer insertion and one keyboard move in an inactive profile. Pointer drag, removal, persistence after relaunch, VoiceOver speech, dark appearance, selection ranges, and real Dock apply remain open.</x:v>
      </x:c>
    </x:row>
    <x:row r="106">
      <x:c r="A106" s="42" t="str">
        <x:v>TR-EDITOR-FINAL-CHROME-001</x:v>
      </x:c>
      <x:c r="B106" s="42" t="str">
        <x:v>PRF-004, PRF-023, PRF-029, MEN-005, UX-001, UX-003</x:v>
      </x:c>
      <x:c r="C106" s="42" t="str">
        <x:v>live unified compact-titlebar demo before the details-scroll correction, 2026-09-04</x:v>
      </x:c>
      <x:c r="D106" s="42" t="str">
        <x:v>macOS 26.4.1 in light and dark appearance at 620 by 300 and 520 by 300 pixel window captures.</x:v>
      </x:c>
      <x:c r="E106" s="42" t="str">
        <x:v>The redundant title label was removed, the picker used an inline native SF Symbol, a flexible toolbar spacer anchored it to the trailing edge, and the Apply foreground used the system contrast treatment.</x:v>
      </x:c>
      <x:c r="F106" s="42" t="str">
        <x:v>Inspect the collapsed editor at default and minimum widths in light and dark appearance. Check the single traffic-light row, picker alignment, saved color swatch, paired chevrons, 32-grapheme name, identity backing, Apply label, actions, and preview.</x:v>
      </x:c>
      <x:c r="G106" s="42" t="str">
        <x:v>The collapsed editor keeps one native titlebar row, a trailing picker with a complete disclosure glyph, readable system action foregrounds, fixed controls, and complete profile text without overflow dots.</x:v>
      </x:c>
      <x:c r="H106" s="42" t="str">
        <x:v>All four collapsed states meet the expected visual contract. The picker is right aligned, both chevrons render inside its native control, the 32-grapheme name remains complete, the Apply label is dark in light appearance and light in dark appearance, and the fixed content remains visible.</x:v>
      </x:c>
      <x:c r="I106" s="42" t="str">
        <x:v>Not run</x:v>
      </x:c>
      <x:c r="J106" s="42" t="str">
        <x:v>Pass</x:v>
      </x:c>
      <x:c r="K106" s="42" t="str">
        <x:v>Not run</x:v>
      </x:c>
      <x:c r="L106" s="42" t="str">
        <x:v>Not run</x:v>
      </x:c>
      <x:c r="M106" s="42" t="str">
        <x:v>artifacts/ui/sidebar-free/compact-picker-alignment-before.png</x:v>
      </x:c>
      <x:c r="N106" s="42" t="str">
        <x:v>artifacts/ui/sidebar-free/editor-dark-minimum-final.png</x:v>
      </x:c>
      <x:c r="O106" s="42" t="str"/>
      <x:c r="P106" s="42" t="str">
        <x:v>DEF-063, DEF-064</x:v>
      </x:c>
      <x:c r="Q106" s="42" t="str">
        <x:v>root and blackout_benchmark_resume</x:v>
      </x:c>
      <x:c r="R106" s="52" t="n">
        <x:v>46269.94027777778</x:v>
      </x:c>
      <x:c r="S106" s="42" t="str">
        <x:v>The visual retest covers collapsed editor states only. Pressed, disabled, Increased Contrast, Reduced Transparency, motion, keyboard navigation of the picker, and VoiceOver speech remain open. The accessibility tree exposes the picker description and full value, but its native Text attachment appears as a placeholder in the label, so no spoken-result claim is made.</x:v>
      </x:c>
    </x:row>
    <x:row r="107">
      <x:c r="A107" s="42" t="str">
        <x:v>TR-DETAILS-SCROLL-BOUNDARY-RED-001</x:v>
      </x:c>
      <x:c r="B107" s="42" t="str">
        <x:v>PRF-023, MEN-005, UX-001, UX-003</x:v>
      </x:c>
      <x:c r="C107" s="42" t="str">
        <x:v>live unified compact-titlebar demo before the details-scroll correction, 2026-09-04</x:v>
      </x:c>
      <x:c r="D107" s="42" t="str">
        <x:v>macOS 26.4.1 dark appearance at 520 by 300 pixels with the details disclosure expanded.</x:v>
      </x:c>
      <x:c r="E107" s="42" t="str">
        <x:v>The same window fit its collapsed identity, actions, preview, and disclosure in the fixed-chrome layout.</x:v>
      </x:c>
      <x:c r="F107" s="42" t="str">
        <x:v>Open show details at minimum width, compare the fixed upper region before and after expansion, and inspect the accessibility hierarchy for the outer scrolling container.</x:v>
      </x:c>
      <x:c r="G107" s="42" t="str">
        <x:v>Expanding details leaves the identity, actions, and preview fixed. Only the lower details region gains ordinary independent scrolling when its content exceeds the remaining height.</x:v>
      </x:c>
      <x:c r="H107" s="42" t="str">
        <x:v>Expanding details makes the entire editor choose the all-scroll fallback. The identity leaves the viewport, the actions are clipped at the top edge, and the accessibility hierarchy exposes the whole body as one outer ScrollView even though the upper region still fits.</x:v>
      </x:c>
      <x:c r="I107" s="42" t="str">
        <x:v>Fail</x:v>
      </x:c>
      <x:c r="J107" s="42" t="str">
        <x:v>Fail</x:v>
      </x:c>
      <x:c r="K107" s="42" t="str">
        <x:v>Not run</x:v>
      </x:c>
      <x:c r="L107" s="42" t="str">
        <x:v>Fail</x:v>
      </x:c>
      <x:c r="M107" s="42" t="str">
        <x:v>artifacts/ui/sidebar-free/editor-dark-minimum-final.png</x:v>
      </x:c>
      <x:c r="N107" s="42" t="str">
        <x:v>artifacts/ui/sidebar-free/details-dark-minimum-final.png</x:v>
      </x:c>
      <x:c r="O107" s="42" t="str"/>
      <x:c r="P107" s="42" t="str">
        <x:v>DEF-065</x:v>
      </x:c>
      <x:c r="Q107" s="42" t="str">
        <x:v>root and blackout_benchmark_resume</x:v>
      </x:c>
      <x:c r="R107" s="52" t="n">
        <x:v>46269.94097222222</x:v>
      </x:c>
      <x:c r="S107" s="42" t="str">
        <x:v>The ordinary all-scroll fallback remains readable when truly required. Selecting it for this normal expanded-details state violates the fixed-chrome boundary and causes an unnecessary layout jump.</x:v>
      </x:c>
    </x:row>
    <x:row r="108">
      <x:c r="A108" s="42" t="str">
        <x:v>TR-DETAILS-INDEPENDENT-SCROLL-GREEN-001</x:v>
      </x:c>
      <x:c r="B108" s="42" t="str">
        <x:v>PRF-023, MEN-005, UX-001, UX-003</x:v>
      </x:c>
      <x:c r="C108" s="42" t="str">
        <x:v>live dark demo after the details-scroll boundary correction, 2026-09-04</x:v>
      </x:c>
      <x:c r="D108" s="42" t="str">
        <x:v>macOS 26.4.1 dark appearance at 520 by 300 pixels with the window focused for the scrolled state.</x:v>
      </x:c>
      <x:c r="E108" s="42" t="str">
        <x:v>The lower details ScrollView used an explicit 36 point ideal height so its expanded content did not inflate the fixed candidate measured by ViewThatFits.</x:v>
      </x:c>
      <x:c r="F108" s="42" t="str">
        <x:v>Open show details at minimum size, inspect the accessibility container boundary, scroll the lower details region until Notes appears, and compare the identity, actions, and preview coordinates before and after.</x:v>
      </x:c>
      <x:c r="G108" s="42" t="str">
        <x:v>Only the lower details region scrolls. The titlebar, profile identity, Apply and Edit controls, and ordered preview remain fixed and fully visible.</x:v>
      </x:c>
      <x:c r="H108" s="42" t="str">
        <x:v>The accessibility hierarchy exposes the root container plus a separate lower details scroller. Scrolling reveals Notes while the identity, actions, and preview remain fixed at the same coordinates.</x:v>
      </x:c>
      <x:c r="I108" s="42" t="str">
        <x:v>Pass</x:v>
      </x:c>
      <x:c r="J108" s="42" t="str">
        <x:v>Pass</x:v>
      </x:c>
      <x:c r="K108" s="42" t="str">
        <x:v>Not run</x:v>
      </x:c>
      <x:c r="L108" s="42" t="str">
        <x:v>Pass</x:v>
      </x:c>
      <x:c r="M108" s="42" t="str">
        <x:v>artifacts/ui/sidebar-free/details-dark-minimum-final.png</x:v>
      </x:c>
      <x:c r="N108" s="42" t="str">
        <x:v>artifacts/ui/sidebar-free/details-independent-scrolled-after.png</x:v>
      </x:c>
      <x:c r="O108" s="42" t="str"/>
      <x:c r="P108" s="42" t="str">
        <x:v>DEF-065</x:v>
      </x:c>
      <x:c r="Q108" s="42" t="str">
        <x:v>root and blackout_benchmark_resume</x:v>
      </x:c>
      <x:c r="R108" s="52" t="n">
        <x:v>46269.94236111111</x:v>
      </x:c>
      <x:c r="S108" s="42" t="str">
        <x:v>This pass covers the specific container boundary at the dark minimum size. Light expanded details, content variants, full keyboard navigation, VoiceOver speech, Reduced Transparency, Increased Contrast, and disclosure motion remain open.</x:v>
      </x:c>
    </x:row>
    <x:row r="109">
      <x:c r="A109" s="42" t="str">
        <x:v>TR-APP-HOSTED-FINAL-001</x:v>
      </x:c>
      <x:c r="B109" s="42" t="str">
        <x:v>PRF-004, PRF-009, PRF-010, PRF-018, PRF-024, PRF-025, PRF-026, PRF-030, PRF-031, PRF-032, PRF-033, MEN-001, MEN-002, FOC-003, XFR-001, XFR-003, XFR-005, XFR-006, REL-001, REL-002, REL-006, REL-008, SET-004, BRD-001</x:v>
      </x:c>
      <x:c r="C109" s="42" t="str">
        <x:v>final hosted app regression build, 2026-09-04</x:v>
      </x:c>
      <x:c r="D109" s="42" t="str">
        <x:v>macOS 26.4.1 arm64 hosted test process with isolated model fixtures, mock Dock services, temporary stores, fake file picker paths, disconnected native menus, and no real Dock mutation.</x:v>
      </x:c>
      <x:c r="E109" s="42" t="str">
        <x:v>The activation, recovery, transfer, native menu lifecycle, and profile color fixes were integrated in the final hosted test target.</x:v>
      </x:c>
      <x:c r="F109" s="42" t="str">
        <x:v>Run the complete DockitAppTests target and independently parse the xcresult summary and suite tree.</x:v>
      </x:c>
      <x:c r="G109" s="42" t="str">
        <x:v>Every declared and parameterized execution passes with no failures or skips, while the result remains explicitly bounded to hosted model, menu lifecycle, and palette behavior.</x:v>
      </x:c>
      <x:c r="H109" s="42" t="str">
        <x:v>The xcresult passed 37 declared tests and 40 concrete executions with zero failures and zero skips. AppModelTests contributed 32 declared tests and 35 executions, MenuLifecycleTests contributed 3, and ProfileColorStyleTests contributed 2.</x:v>
      </x:c>
      <x:c r="I109" s="42" t="str">
        <x:v>Pass</x:v>
      </x:c>
      <x:c r="J109" s="42" t="str">
        <x:v>Not run</x:v>
      </x:c>
      <x:c r="K109" s="42" t="str">
        <x:v>Not run</x:v>
      </x:c>
      <x:c r="L109" s="42" t="str">
        <x:v>Not run</x:v>
      </x:c>
      <x:c r="M109" s="42" t="str"/>
      <x:c r="N109" s="42" t="str">
        <x:v>artifacts/test-results/DockitAppTests-final.xcresult</x:v>
      </x:c>
      <x:c r="O109" s="42" t="str"/>
      <x:c r="P109" s="42" t="str"/>
      <x:c r="Q109" s="42" t="str">
        <x:v>root and blackout_benchmark_resume</x:v>
      </x:c>
      <x:c r="R109" s="52" t="n">
        <x:v>46269.943506944444</x:v>
      </x:c>
      <x:c r="S109" s="42" t="str">
        <x:v>This is the final hosted regression checkpoint, not a release verdict. Real Dock switching and preservation, live Focus, native file-panel pointer routing, visible UI state coverage, motion, VoiceOver, and accessibility appearance modes remain separate gates.</x:v>
      </x:c>
    </x:row>
    <x:row r="110">
      <x:c r="A110" s="42" t="str">
        <x:v>TR-REFERENCE-CONTINUOUS-SURFACE-AUDIT-001</x:v>
      </x:c>
      <x:c r="B110" s="42" t="str">
        <x:v>PRF-023, MEN-005, UX-003, MOT-005</x:v>
      </x:c>
      <x:c r="C110" s="42" t="str">
        <x:v>final collapsed light editor compared with source frame 0, 2026-09-04</x:v>
      </x:c>
      <x:c r="D110" s="42" t="str">
        <x:v>Read-only visual comparison of the current 620 by 300 pixel light capture and source frame 0 at its original 2160 by 2160 resolution.</x:v>
      </x:c>
      <x:c r="E110" s="42" t="str">
        <x:v>The final picker, action contrast, identity backing, spacer, and fixed-layout corrections were visible. The user's latest direction called out the reference's continuous surface below the traffic lights.</x:v>
      </x:c>
      <x:c r="F110" s="42" t="str">
        <x:v>Compare the titlebar and editor surface boundary directly below the traffic lights in source frame 0 and the final light editor capture.</x:v>
      </x:c>
      <x:c r="G110" s="42" t="str">
        <x:v>The traffic-light row flows into the editor surface without a visible horizontal divider, matching the reference's continuous treatment.</x:v>
      </x:c>
      <x:c r="H110" s="42" t="str">
        <x:v>The current native window still draws a horizontal separator below the traffic lights and picker. Source frame 0 has no equivalent dividing rule.</x:v>
      </x:c>
      <x:c r="I110" s="42" t="str">
        <x:v>Not applicable</x:v>
      </x:c>
      <x:c r="J110" s="42" t="str">
        <x:v>Fail</x:v>
      </x:c>
      <x:c r="K110" s="42" t="str">
        <x:v>Not applicable</x:v>
      </x:c>
      <x:c r="L110" s="42" t="str">
        <x:v>Not run</x:v>
      </x:c>
      <x:c r="M110" s="42" t="str">
        <x:v>artifacts/video-reference/frames/frame-000000.png</x:v>
      </x:c>
      <x:c r="N110" s="42" t="str">
        <x:v>artifacts/ui/sidebar-free/editor-light-default-final.png</x:v>
      </x:c>
      <x:c r="O110" s="42" t="str"/>
      <x:c r="P110" s="42" t="str">
        <x:v>DEF-066</x:v>
      </x:c>
      <x:c r="Q110" s="42" t="str">
        <x:v>root and blackout_benchmark_resume</x:v>
      </x:c>
      <x:c r="R110" s="52" t="n">
        <x:v>46269.94513888889</x:v>
      </x:c>
      <x:c r="S110" s="42" t="str">
        <x:v>This comparison records the separator mismatch only. Removing it does not decide the separate whole-window profile tint question. Frame 0 remains the only formally reviewed source frame.</x:v>
      </x:c>
    </x:row>
    <x:row r="111">
      <x:c r="A111" s="42" t="str">
        <x:v>TR-TITLEBAR-CONTINUOUS-SURFACE-GREEN-001</x:v>
      </x:c>
      <x:c r="B111" s="42" t="str">
        <x:v>PRF-023, MEN-005, UX-003, MOT-005</x:v>
      </x:c>
      <x:c r="C111" s="42" t="str">
        <x:v>integrated signed build with hidden window-toolbar background, 2026-09-04</x:v>
      </x:c>
      <x:c r="D111" s="42" t="str">
        <x:v>macOS 26.4.1 focused editor in light and dark appearance at 620 by 300 and 520 by 300 pixel window captures.</x:v>
      </x:c>
      <x:c r="E111" s="42" t="str">
        <x:v>ContentView applied toolbarBackgroundVisibility hidden for the window toolbar. The integrated build completed successfully before the live review.</x:v>
      </x:c>
      <x:c r="F111" s="42" t="str">
        <x:v>Launch the rebuilt app, inspect the titlebar-to-content boundary at default and minimum widths in light and dark appearance, and confirm the maximum-length name, paired chevrons, identity, actions, and adaptive stacking remain intact.</x:v>
      </x:c>
      <x:c r="G111" s="42" t="str">
        <x:v>No divider appears below the traffic lights or picker. Removing it does not regress the full 32-grapheme name, native disclosure glyph, action controls, profile identity, or minimum-width stacking.</x:v>
      </x:c>
      <x:c r="H111" s="42" t="str">
        <x:v>All four focused captures show a continuous titlebar-to-content surface with no divider. The full maximum-length name and paired chevrons remain visible, and the actions stack at minimum width without hidden text.</x:v>
      </x:c>
      <x:c r="I111" s="42" t="str">
        <x:v>Not run</x:v>
      </x:c>
      <x:c r="J111" s="42" t="str">
        <x:v>Pass</x:v>
      </x:c>
      <x:c r="K111" s="42" t="str">
        <x:v>Not applicable</x:v>
      </x:c>
      <x:c r="L111" s="42" t="str">
        <x:v>Not run</x:v>
      </x:c>
      <x:c r="M111" s="42" t="str">
        <x:v>artifacts/ui/sidebar-free/titlebar-separator-before.png</x:v>
      </x:c>
      <x:c r="N111" s="42" t="str">
        <x:v>artifacts/ui/sidebar-free/titlebar-continuous-dark-minimum.png</x:v>
      </x:c>
      <x:c r="O111" s="42" t="str"/>
      <x:c r="P111" s="42" t="str">
        <x:v>DEF-066</x:v>
      </x:c>
      <x:c r="Q111" s="42" t="str">
        <x:v>root and blackout_benchmark_resume</x:v>
      </x:c>
      <x:c r="R111" s="52" t="n">
        <x:v>46269.95486111111</x:v>
      </x:c>
      <x:c r="S111" s="42" t="str">
        <x:v>This is a bounded focused-window visual pass. Inactive windows, Reduced Transparency, Increased Contrast, keyboard, VoiceOver, and a hosted suite after the one-line window modifier remain open. The separate whole-window profile tint choice remains pending.</x:v>
      </x:c>
    </x:row>
    <x:row r="112">
      <x:c r="A112" s="42" t="str">
        <x:v>TR-REFERENCE-FRAMES-000001-000005-001</x:v>
      </x:c>
      <x:c r="B112" s="42" t="str">
        <x:v>MOT-005</x:v>
      </x:c>
      <x:c r="C112" s="42" t="str">
        <x:v>reference video frames 1 through 5 comparison, 2026-09-04</x:v>
      </x:c>
      <x:c r="D112" s="42" t="str">
        <x:v>Original 2160 by 2160 source frames at original presentation timestamps, compared with the active work editor in a 620 by 300 pixel dark capture.</x:v>
      </x:c>
      <x:c r="E112" s="42" t="str">
        <x:v>The source hash still matches the indexed 31,315,297 byte video. Frame 0 was already reviewed. Frames 1 through 5 and the current comparison image were inspected directly.</x:v>
      </x:c>
      <x:c r="F112" s="42" t="str">
        <x:v>Inspect frames 1 through 5 individually at original resolution, record one annotation per frame, compare each with the current active work editor, regenerate explicit coverage, and rerun all six reference evidence tests.</x:v>
      </x:c>
      <x:c r="G112" s="42" t="str">
        <x:v>Each reviewed frame retains its original identity and timestamp, differences remain explicit, coverage advances by exactly five frames, and no static comparison is promoted into pixel, equal-fixture, or motion proof.</x:v>
      </x:c>
      <x:c r="H112" s="42" t="str">
        <x:v>Frames 1 through 5 are recorded as differences. Together with frame 0, coverage is 6 of 2,374 reviewed and 2,368 unreviewed. The current app has four items in dark appearance, while the reference has nine items on a colored light surface. All six reference evidence tests passed.</x:v>
      </x:c>
      <x:c r="I112" s="42" t="str">
        <x:v>Pass</x:v>
      </x:c>
      <x:c r="J112" s="42" t="str">
        <x:v>Fail</x:v>
      </x:c>
      <x:c r="K112" s="42" t="str">
        <x:v>Not run</x:v>
      </x:c>
      <x:c r="L112" s="42" t="str">
        <x:v>Not applicable</x:v>
      </x:c>
      <x:c r="M112" s="42" t="str">
        <x:v>artifacts/video-reference/frames/frame-000001.png</x:v>
      </x:c>
      <x:c r="N112" s="42" t="str">
        <x:v>artifacts/video-reference/work-current-after-separator.png</x:v>
      </x:c>
      <x:c r="O112" s="42" t="str">
        <x:v>benja_-_here_s_a_quick_video_on_how_works_made_it_for_myself_turns_out_many_cgVZUA.mp4</x:v>
      </x:c>
      <x:c r="P112" s="42" t="str"/>
      <x:c r="Q112" s="42" t="str">
        <x:v>root and blackout_benchmark_resume</x:v>
      </x:c>
      <x:c r="R112" s="52" t="n">
        <x:v>46269.96099537037</x:v>
      </x:c>
      <x:c r="S112" s="42" t="str">
        <x:v>The functional pass applies only to the evidence tool. The visual fail records six honest structural differences, not a complete product verdict. Full coverage, equal-state comparison, and motion remain open.</x:v>
      </x:c>
    </x:row>
    <x:row r="113">
      <x:c r="A113" s="42" t="str">
        <x:v>TR-APP-HOSTED-POST-SEPARATOR-001</x:v>
      </x:c>
      <x:c r="B113" s="42" t="str">
        <x:v>PRF-004, PRF-009, PRF-010, PRF-018, PRF-024, PRF-025, PRF-026, PRF-030, PRF-031, PRF-032, PRF-033, MEN-001, MEN-002, FOC-003, XFR-001, XFR-003, XFR-005, XFR-006, REL-001, REL-002, REL-006, REL-008, SET-004, BRD-001</x:v>
      </x:c>
      <x:c r="C113" s="42" t="str">
        <x:v>hosted app regression after titlebar surface correction, 2026-09-04</x:v>
      </x:c>
      <x:c r="D113" s="42" t="str">
        <x:v>macOS 26.4.1 build 25E253 arm64 hosted test process with isolated model fixtures, mock Dock services, temporary stores, fake file picker paths, disconnected native menus, and no real Dock mutation.</x:v>
      </x:c>
      <x:c r="E113" s="42" t="str">
        <x:v>The editor-scoped toolbar background visibility correction was integrated. The DockitAppTests scheme was selected for the test action.</x:v>
      </x:c>
      <x:c r="F113" s="42" t="str">
        <x:v>Run the complete hosted DockitAppTests target after the titlebar modifier and parse the xcresult summary directly.</x:v>
      </x:c>
      <x:c r="G113" s="42" t="str">
        <x:v>All declared and parameterized executions pass without failures or skips, while the result remains bounded to the isolated contracts exercised by the target.</x:v>
      </x:c>
      <x:c r="H113" s="42" t="str">
        <x:v>The result passed 37 declared tests and 40 concrete executions with zero failures and zero skips on macOS 26.4.1 arm64.</x:v>
      </x:c>
      <x:c r="I113" s="42" t="str">
        <x:v>Pass</x:v>
      </x:c>
      <x:c r="J113" s="42" t="str">
        <x:v>Not run</x:v>
      </x:c>
      <x:c r="K113" s="42" t="str">
        <x:v>Not run</x:v>
      </x:c>
      <x:c r="L113" s="42" t="str">
        <x:v>Not run</x:v>
      </x:c>
      <x:c r="M113" s="42" t="str"/>
      <x:c r="N113" s="42" t="str">
        <x:v>artifacts/test-results/DockitAppTests-titlebar-retest.xcresult</x:v>
      </x:c>
      <x:c r="O113" s="42" t="str"/>
      <x:c r="P113" s="42" t="str"/>
      <x:c r="Q113" s="42" t="str">
        <x:v>root and blackout_benchmark_resume</x:v>
      </x:c>
      <x:c r="R113" s="52" t="n">
        <x:v>46269.95900462963</x:v>
      </x:c>
      <x:c r="S113" s="42" t="str">
        <x:v>An earlier command used the Dockit scheme, which has no test action, and stopped before executing tests. That harness mistake is retained in artifacts/titlebar-hosted-tests.log and is not a product defect. Real Dock, live Focus, native panel pointer routing, visual motion, VoiceOver, and accessibility appearance gates remain open.</x:v>
      </x:c>
    </x:row>
    <x:row r="114">
      <x:c r="A114" s="42" t="str">
        <x:v>TR-IMPORT-LIGHT-RETEST-001</x:v>
      </x:c>
      <x:c r="B114" s="42" t="str">
        <x:v>SET-004, XFR-003, XFR-005, XFR-006, UX-001</x:v>
      </x:c>
      <x:c r="C114" s="42" t="str">
        <x:v>native light import retest, 2026-09-04</x:v>
      </x:c>
      <x:c r="D114" s="42" t="str">
        <x:v>Focused light app at 520 pixel settings width and 620 pixel editor width, using the version 1 sidebar-free-roundtrip-after-fix.dockit fixture.</x:v>
      </x:c>
      <x:c r="E114" s="42" t="str">
        <x:v>The fixture contains one profile with two apps, one unavailable path, and a name that collides with an existing profile.</x:v>
      </x:c>
      <x:c r="F114" s="42" t="str">
        <x:v>Open import from settings, choose the fixture, inspect the preview copy and layout, import one Dock, confirm settings regains focus, and inspect the appended profile in the editor.</x:v>
      </x:c>
      <x:c r="G114" s="42" t="str">
        <x:v>The collision is shown as a renamed copy, unavailable-app behavior is described accurately, filenames and paths wrap completely, no empty rows imply missing content, settings resumes after import, and the imported profile is appended without becoming active.</x:v>
      </x:c>
      <x:c r="H114" s="42" t="str">
        <x:v>The preview showed Research, writing, and deep wo 2, one unavailable app, the complete fixture name and wrapping app path, and no unused alternating stripes. Import returned to focused settings with imported 1 dock. The appended profile appeared inactive with two items in the editor.</x:v>
      </x:c>
      <x:c r="I114" s="42" t="str">
        <x:v>Pass</x:v>
      </x:c>
      <x:c r="J114" s="42" t="str">
        <x:v>Pass</x:v>
      </x:c>
      <x:c r="K114" s="42" t="str">
        <x:v>Not applicable</x:v>
      </x:c>
      <x:c r="L114" s="42" t="str">
        <x:v>Not run</x:v>
      </x:c>
      <x:c r="M114" s="42" t="str">
        <x:v>artifacts/ui/sidebar-free/import-dark-before-fix.png</x:v>
      </x:c>
      <x:c r="N114" s="42" t="str">
        <x:v>artifacts/ui/sidebar-free/import-light-retest-editor.png</x:v>
      </x:c>
      <x:c r="O114" s="42" t="str"/>
      <x:c r="P114" s="42" t="str">
        <x:v>DEF-047, DEF-048</x:v>
      </x:c>
      <x:c r="Q114" s="42" t="str">
        <x:v>root and blackout_benchmark_resume</x:v>
      </x:c>
      <x:c r="R114" s="52" t="n">
        <x:v>46269.9678125</x:v>
      </x:c>
      <x:c r="S114" s="42" t="str">
        <x:v>This closes the two observed import-preview corrections for the bounded light path only. Dark appearance, keyboard, VoiceOver, imported-profile apply, and broader cancellation coverage remain open.</x:v>
      </x:c>
    </x:row>
    <x:row r="115">
      <x:c r="A115" s="42" t="str">
        <x:v>TR-MISSING-APPS-LIGHT-REVIEW-RED-001</x:v>
      </x:c>
      <x:c r="B115" s="42" t="str">
        <x:v>XFR-006, MEN-005, UX-003</x:v>
      </x:c>
      <x:c r="C115" s="42" t="str">
        <x:v>native light unavailable-app review before source fix, 2026-09-04</x:v>
      </x:c>
      <x:c r="D115" s="42" t="str">
        <x:v>Focused light unavailable-app review at 540 by 420 pixels with one unavailable entry.</x:v>
      </x:c>
      <x:c r="E115" s="42" t="str">
        <x:v>The imported profile contains one app whose saved path is unavailable. The unavailable-app review is open before any cancel or skip action.</x:v>
      </x:c>
      <x:c r="F115" s="42" t="str">
        <x:v>Open the unavailable-app review and inspect the content below the single real entry before choosing a recovery action.</x:v>
      </x:c>
      <x:c r="G115" s="42" t="str">
        <x:v>The review shows exactly the unavailable entries and their actions. It does not render empty alternating rows that imply additional missing records.</x:v>
      </x:c>
      <x:c r="H115" s="42" t="str">
        <x:v>One unavailable-app row is followed by three empty gray alternating stripes.</x:v>
      </x:c>
      <x:c r="I115" s="42" t="str">
        <x:v>Not run</x:v>
      </x:c>
      <x:c r="J115" s="42" t="str">
        <x:v>Fail</x:v>
      </x:c>
      <x:c r="K115" s="42" t="str">
        <x:v>Not applicable</x:v>
      </x:c>
      <x:c r="L115" s="42" t="str">
        <x:v>Not run</x:v>
      </x:c>
      <x:c r="M115" s="42" t="str">
        <x:v>artifacts/ui/sidebar-free/missing-light-retest-review.png</x:v>
      </x:c>
      <x:c r="N115" s="42" t="str"/>
      <x:c r="O115" s="42" t="str"/>
      <x:c r="P115" s="42" t="str">
        <x:v>DEF-067</x:v>
      </x:c>
      <x:c r="Q115" s="42" t="str">
        <x:v>root and blackout_benchmark_resume</x:v>
      </x:c>
      <x:c r="R115" s="52" t="n">
        <x:v>46269.96894675926</x:v>
      </x:c>
      <x:c r="S115" s="42" t="str">
        <x:v>This is a separate recovery-surface defect. It does not reopen the corrected import-preview empty-row defect. Cancel and skip behavior were not included in this run.</x:v>
      </x:c>
    </x:row>
    <x:row r="116">
      <x:c r="A116" s="42" t="str">
        <x:v>TR-REFERENCE-FRAMES-000006-000029-001</x:v>
      </x:c>
      <x:c r="B116" s="42" t="str">
        <x:v>MOT-005, PRF-023, PRF-028, MEN-005, UX-003</x:v>
      </x:c>
      <x:c r="C116" s="42" t="str">
        <x:v>reference video frames 6 through 29 comparison, 2026-09-04</x:v>
      </x:c>
      <x:c r="D116" s="42" t="str">
        <x:v>Original 2160 by 2160 source frames at their original presentation timestamps, compared with the active work editor in a 620 by 300 pixel dark capture.</x:v>
      </x:c>
      <x:c r="E116" s="42" t="str">
        <x:v>Frames 0 through 5 were already reviewed. The delegated batch for frames 6 through 29 was read in full, frame 6 and the current comparison were inspected directly, and every timestamp and evidence path was validated before merge.</x:v>
      </x:c>
      <x:c r="F116" s="42" t="str">
        <x:v>Merge the 24 individually reviewed frame records, validate source identity, timestamps, evidence paths, and contiguous coverage, then run the strict incomplete coverage gate.</x:v>
      </x:c>
      <x:c r="G116" s="42" t="str">
        <x:v>Coverage advances from 6 to 30 reviewed frames without skipping or duplicating an index. Structural differences remain explicit and incomplete coverage exits nonzero.</x:v>
      </x:c>
      <x:c r="H116" s="42" t="str">
        <x:v>Coverage is 30 of 2,374 reviewed and 2,344 unreviewed. All 30 reviewed outcomes are difference and strict coverage exits 1. The current picker is narrower than edit dock and extends farther right, while the reference picker is wider and aligned at the right edge. Spacer proportions also differ, but the source spacer kind is not proven.</x:v>
      </x:c>
      <x:c r="I116" s="42" t="str">
        <x:v>Pass</x:v>
      </x:c>
      <x:c r="J116" s="42" t="str">
        <x:v>Fail</x:v>
      </x:c>
      <x:c r="K116" s="42" t="str">
        <x:v>Not run</x:v>
      </x:c>
      <x:c r="L116" s="42" t="str">
        <x:v>Not applicable</x:v>
      </x:c>
      <x:c r="M116" s="42" t="str">
        <x:v>artifacts/video-reference/frames/frame-000006.png</x:v>
      </x:c>
      <x:c r="N116" s="42" t="str">
        <x:v>artifacts/video-reference/work-current-after-separator.png</x:v>
      </x:c>
      <x:c r="O116" s="42" t="str">
        <x:v>benja_-_here_s_a_quick_video_on_how_works_made_it_for_myself_turns_out_many_cgVZUA.mp4</x:v>
      </x:c>
      <x:c r="P116" s="42" t="str">
        <x:v>DEF-068</x:v>
      </x:c>
      <x:c r="Q116" s="42" t="str">
        <x:v>root and blackout_benchmark_resume</x:v>
      </x:c>
      <x:c r="R116" s="52" t="n">
        <x:v>46269.97190972222</x:v>
      </x:c>
      <x:c r="S116" s="42" t="str">
        <x:v>The functional pass applies to annotation integrity and coverage accounting. Product visual and motion verdicts remain Not run. The spacer proportion difference is an observation only until the source spacer kind is identified.</x:v>
      </x:c>
    </x:row>
    <x:row r="117">
      <x:c r="A117" s="42" t="str">
        <x:v>TR-MISSING-APPS-EMPTY-ROWS-GREEN-001</x:v>
      </x:c>
      <x:c r="B117" s="42" t="str">
        <x:v>XFR-006, MEN-005, UX-003</x:v>
      </x:c>
      <x:c r="C117" s="42" t="str">
        <x:v>integrated missing-app list row correction, 2026-09-04</x:v>
      </x:c>
      <x:c r="D117" s="42" t="str">
        <x:v>Focused light unavailable-app review at 540 by 420 pixels with one unavailable entry.</x:v>
      </x:c>
      <x:c r="E117" s="42" t="str">
        <x:v>MissingAppsView disables alternating row backgrounds and the signed integrated build passes.</x:v>
      </x:c>
      <x:c r="F117" s="42" t="str">
        <x:v>Build the integrated app, open the same one-item unavailable-app review, and inspect the full list area for empty stripe artifacts.</x:v>
      </x:c>
      <x:c r="G117" s="42" t="str">
        <x:v>Only the one real unavailable-app row appears. Empty list space is plain and does not imply additional records.</x:v>
      </x:c>
      <x:c r="H117" s="42" t="str">
        <x:v>The integrated build passed. The light retest shows one populated row and plain empty space with no alternating stripes.</x:v>
      </x:c>
      <x:c r="I117" s="42" t="str">
        <x:v>Not run</x:v>
      </x:c>
      <x:c r="J117" s="42" t="str">
        <x:v>Pass</x:v>
      </x:c>
      <x:c r="K117" s="42" t="str">
        <x:v>Not applicable</x:v>
      </x:c>
      <x:c r="L117" s="42" t="str">
        <x:v>Not run</x:v>
      </x:c>
      <x:c r="M117" s="42" t="str">
        <x:v>artifacts/ui/sidebar-free/missing-light-retest-review.png</x:v>
      </x:c>
      <x:c r="N117" s="42" t="str">
        <x:v>artifacts/ui/sidebar-free/missing-light-after-empty-row-fix.png</x:v>
      </x:c>
      <x:c r="O117" s="42" t="str"/>
      <x:c r="P117" s="42" t="str">
        <x:v>DEF-067</x:v>
      </x:c>
      <x:c r="Q117" s="42" t="str">
        <x:v>root and blackout_benchmark_resume</x:v>
      </x:c>
      <x:c r="R117" s="52" t="n">
        <x:v>46269.9725</x:v>
      </x:c>
      <x:c r="S117" s="42" t="str">
        <x:v>This is a bounded light visual pass. Dark appearance, keyboard, VoiceOver, and recovery actions remain separate checks.</x:v>
      </x:c>
    </x:row>
    <x:row r="118">
      <x:c r="A118" s="42" t="str">
        <x:v>TR-MISSING-APPS-CANCEL-LIGHT-001</x:v>
      </x:c>
      <x:c r="B118" s="42" t="str">
        <x:v>XFR-006</x:v>
      </x:c>
      <x:c r="C118" s="42" t="str">
        <x:v>native light unavailable-app cancel retest, 2026-09-04</x:v>
      </x:c>
      <x:c r="D118" s="42" t="str">
        <x:v>Focused light editor at 620 by 300 pixels after canceling the unavailable-app review.</x:v>
      </x:c>
      <x:c r="E118" s="42" t="str">
        <x:v>The unavailable-app review was opened from the imported inactive profile while work remained active.</x:v>
      </x:c>
      <x:c r="F118" s="42" t="str">
        <x:v>Cancel the review before import and again after import, then inspect active-profile state and completion feedback.</x:v>
      </x:c>
      <x:c r="G118" s="42" t="str">
        <x:v>Cancel closes the review, leaves work active, does not apply the selected imported profile, and clearly says that the Dock is unchanged.</x:v>
      </x:c>
      <x:c r="H118" s="42" t="str">
        <x:v>The review closed, work remained active, the imported two-item profile remained inactive, and the message said review closed, work is still active and your dock is unchanged.</x:v>
      </x:c>
      <x:c r="I118" s="42" t="str">
        <x:v>Pass</x:v>
      </x:c>
      <x:c r="J118" s="42" t="str">
        <x:v>Pass</x:v>
      </x:c>
      <x:c r="K118" s="42" t="str">
        <x:v>Not applicable</x:v>
      </x:c>
      <x:c r="L118" s="42" t="str">
        <x:v>Not run</x:v>
      </x:c>
      <x:c r="M118" s="42" t="str"/>
      <x:c r="N118" s="42" t="str">
        <x:v>artifacts/ui/sidebar-free/missing-light-retest-cancel.png</x:v>
      </x:c>
      <x:c r="O118" s="42" t="str"/>
      <x:c r="P118" s="42" t="str"/>
      <x:c r="Q118" s="42" t="str">
        <x:v>root and blackout_benchmark_resume</x:v>
      </x:c>
      <x:c r="R118" s="52" t="n">
        <x:v>46269.96960648148</x:v>
      </x:c>
      <x:c r="S118" s="42" t="str">
        <x:v>This verifies the bounded light cancel branch before and after import. It does not verify skip and apply or close DEF-054's skipped-entry completion-copy check.</x:v>
      </x:c>
    </x:row>
    <x:row r="119">
      <x:c r="A119" s="42" t="str">
        <x:v>TR-MISSING-APPS-RESIZE-RED-001</x:v>
      </x:c>
      <x:c r="B119" s="42" t="str">
        <x:v>XFR-006, MEN-005, UX-003</x:v>
      </x:c>
      <x:c r="C119" s="42" t="str">
        <x:v>native light recovery resize audit before source fix, 2026-09-04</x:v>
      </x:c>
      <x:c r="D119" s="42" t="str">
        <x:v>Focused light unavailable-app recovery sheet at 540 by 420 pixels.</x:v>
      </x:c>
      <x:c r="E119" s="42" t="str">
        <x:v>The approved recovery sheet is presented with one unavailable entry and is expected to be resizable.</x:v>
      </x:c>
      <x:c r="F119" s="42" t="str">
        <x:v>Drag the bottom-right corner outward, capture the result, then drag the right edge outward and capture the result again.</x:v>
      </x:c>
      <x:c r="G119" s="42" t="str">
        <x:v>The sheet grows from its 540 by 420 pixel starting size and its content adapts without clipping or empty-row artifacts.</x:v>
      </x:c>
      <x:c r="H119" s="42" t="str">
        <x:v>Both corner and right-edge attempts left the sheet at exactly 540 by 420 pixels.</x:v>
      </x:c>
      <x:c r="I119" s="42" t="str">
        <x:v>Fail</x:v>
      </x:c>
      <x:c r="J119" s="42" t="str">
        <x:v>Fail</x:v>
      </x:c>
      <x:c r="K119" s="42" t="str">
        <x:v>Not applicable</x:v>
      </x:c>
      <x:c r="L119" s="42" t="str">
        <x:v>Not run</x:v>
      </x:c>
      <x:c r="M119" s="42" t="str">
        <x:v>artifacts/ui/sidebar-free/missing-light-expanded-after-fix.png</x:v>
      </x:c>
      <x:c r="N119" s="42" t="str">
        <x:v>artifacts/ui/sidebar-free/missing-light-resize-edge-check.png</x:v>
      </x:c>
      <x:c r="O119" s="42" t="str"/>
      <x:c r="P119" s="42" t="str">
        <x:v>DEF-069</x:v>
      </x:c>
      <x:c r="Q119" s="42" t="str">
        <x:v>root and blackout_benchmark_resume</x:v>
      </x:c>
      <x:c r="R119" s="52" t="n">
        <x:v>46269.97331018518</x:v>
      </x:c>
      <x:c r="S119" s="42" t="str">
        <x:v>This is an app defect pending source diagnosis. It is not classified as an operating-system limitation.</x:v>
      </x:c>
    </x:row>
    <x:row r="120">
      <x:c r="A120" s="42" t="str">
        <x:v>TR-CORE-NATIVE-RECOVERY-001</x:v>
      </x:c>
      <x:c r="B120" s="42" t="str">
        <x:v>PRV-001, PRF-006, PRF-008, PRF-020, PRF-022, PRF-024, PRF-025, PRF-029, PRF-031, PRF-032, PRF-033, PRF-034, FOC-003, FOC-004, FOC-005, XFR-003, XFR-004, XFR-005, XFR-006, REL-001, REL-002, REL-006, REL-007, REL-008, MOT-004, MOT-005</x:v>
      </x:c>
      <x:c r="C120" s="42" t="str">
        <x:v>complete core regression after import collision coverage, 2026-09-04</x:v>
      </x:c>
      <x:c r="D120" s="42" t="str">
        <x:v>SwiftPM on macOS 26.4.1 using isolated core fixtures and no real Dock mutation.</x:v>
      </x:c>
      <x:c r="E120" s="42" t="str">
        <x:v>The generated import-collision case and current saved-versus-applied core suite are present.</x:v>
      </x:c>
      <x:c r="F120" s="42" t="str">
        <x:v>Run the complete DockitCore suite and retain the full output.</x:v>
      </x:c>
      <x:c r="G120" s="42" t="str">
        <x:v>All Swift Testing and XCTest cases pass. Build warnings remain visible and are tracked rather than omitted.</x:v>
      </x:c>
      <x:c r="H120" s="42" t="str">
        <x:v>All 76 Swift Testing cases and 8 XCTest cases passed with zero failures. SwiftPM warned that Tools/ReferenceVideo.mjs and Tools/ReferenceVideoTests.mjs are unhandled files.</x:v>
      </x:c>
      <x:c r="I120" s="42" t="str">
        <x:v>Pass</x:v>
      </x:c>
      <x:c r="J120" s="42" t="str">
        <x:v>Not applicable</x:v>
      </x:c>
      <x:c r="K120" s="42" t="str">
        <x:v>Not applicable</x:v>
      </x:c>
      <x:c r="L120" s="42" t="str">
        <x:v>Not applicable</x:v>
      </x:c>
      <x:c r="M120" s="42" t="str"/>
      <x:c r="N120" s="42" t="str">
        <x:v>artifacts/import-collision-core-retest.log</x:v>
      </x:c>
      <x:c r="O120" s="42" t="str"/>
      <x:c r="P120" s="42" t="str">
        <x:v>DEF-070</x:v>
      </x:c>
      <x:c r="Q120" s="42" t="str">
        <x:v>root and blackout_benchmark_resume</x:v>
      </x:c>
      <x:c r="R120" s="52" t="n">
        <x:v>46269.97688657408</x:v>
      </x:c>
      <x:c r="S120" s="42" t="str">
        <x:v>The tests pass. DEF-070 separately tracks the package warning. This run does not verify app UI, real Dock behavior, live Focus, or reference-video completion.</x:v>
      </x:c>
    </x:row>
    <x:row r="121">
      <x:c r="A121" s="42" t="str">
        <x:v>TR-MISSING-APPS-FITTED-GREEN-001</x:v>
      </x:c>
      <x:c r="B121" s="42" t="str">
        <x:v>XFR-006, MEN-005, UX-003</x:v>
      </x:c>
      <x:c r="C121" s="42" t="str">
        <x:v>native fitted recovery sheet, 2026-09-04</x:v>
      </x:c>
      <x:c r="D121" s="42" t="str">
        <x:v>Focused signed development app in light and dark appearance, opening at 640 by 560 pixels and resized by native corner drag to 540 by 420 pixels.</x:v>
      </x:c>
      <x:c r="E121" s="42" t="str">
        <x:v>The recovery sheet uses fitted presentation sizing with the existing 540 by 420 minimum and 640 by 560 ideal dimensions.</x:v>
      </x:c>
      <x:c r="F121" s="42" t="str">
        <x:v>Open the one-item recovery sheet in light and dark appearance, drag its native corner from the ideal to minimum size, inspect every text and action, then press Escape in light appearance.</x:v>
      </x:c>
      <x:c r="G121" s="42" t="str">
        <x:v>The sheet resizes in both appearances, keeps every control and the full path reachable, draws no empty list stripes, and Escape returns without changing the active profile.</x:v>
      </x:c>
      <x:c r="H121" s="42" t="str">
        <x:v>Light and dark sheets opened at 640 by 560 and resized to 540 by 420. All text and actions remained reachable and no empty stripes appeared. Escape returned to the editor with Work active and Research inactive.</x:v>
      </x:c>
      <x:c r="I121" s="42" t="str">
        <x:v>Pass</x:v>
      </x:c>
      <x:c r="J121" s="42" t="str">
        <x:v>Pass</x:v>
      </x:c>
      <x:c r="K121" s="42" t="str">
        <x:v>Not applicable</x:v>
      </x:c>
      <x:c r="L121" s="42" t="str">
        <x:v>Not run</x:v>
      </x:c>
      <x:c r="M121" s="42" t="str">
        <x:v>artifacts/ui/sidebar-free/missing-light-resize-edge-check.png</x:v>
      </x:c>
      <x:c r="N121" s="42" t="str">
        <x:v>artifacts/ui/sidebar-free/missing-fitted-dark-minimum.png</x:v>
      </x:c>
      <x:c r="O121" s="42" t="str"/>
      <x:c r="P121" s="42" t="str">
        <x:v>DEF-067, DEF-069</x:v>
      </x:c>
      <x:c r="Q121" s="42" t="str">
        <x:v>root and blackout_benchmark_resume</x:v>
      </x:c>
      <x:c r="R121" s="52" t="n">
        <x:v>46269.978796296295</x:v>
      </x:c>
      <x:c r="S121" s="42" t="str">
        <x:v>This is a bounded light and dark pointer-resize pass. Keyboard traversal inside the sheet, VoiceOver, Increased Contrast, and Reduced Transparency remain open.</x:v>
      </x:c>
    </x:row>
    <x:row r="122">
      <x:c r="A122" s="42" t="str">
        <x:v>TR-MISSING-APPS-REPLACEMENT-DARK-001</x:v>
      </x:c>
      <x:c r="B122" s="42" t="str">
        <x:v>XFR-006</x:v>
      </x:c>
      <x:c r="C122" s="42" t="str">
        <x:v>native dark unavailable-app replacement flow, 2026-09-04</x:v>
      </x:c>
      <x:c r="D122" s="42" t="str">
        <x:v>Focused dark demo app with a native application chooser and one unavailable saved app.</x:v>
      </x:c>
      <x:c r="E122" s="42" t="str">
        <x:v>Research is selected with one unavailable app and Notes. The demo library is in memory and does not integrate with the real Dock.</x:v>
      </x:c>
      <x:c r="F122" s="42" t="str">
        <x:v>Choose replacement, select Books in the native panel, confirm the all-apps-available state, then apply the demo profile.</x:v>
      </x:c>
      <x:c r="G122" s="42" t="str">
        <x:v>The native panel accepts Books, the review removes the missing state, and the applied demo layout keeps Books first and Notes second.</x:v>
      </x:c>
      <x:c r="H122" s="42" t="str">
        <x:v>Books was selectable with choose enabled. The review changed to all apps are available with apply dock. Applying made Research current with Books first and Notes second.</x:v>
      </x:c>
      <x:c r="I122" s="42" t="str">
        <x:v>Pass</x:v>
      </x:c>
      <x:c r="J122" s="42" t="str">
        <x:v>Pass</x:v>
      </x:c>
      <x:c r="K122" s="42" t="str">
        <x:v>Not applicable</x:v>
      </x:c>
      <x:c r="L122" s="42" t="str">
        <x:v>Not run</x:v>
      </x:c>
      <x:c r="M122" s="42" t="str">
        <x:v>artifacts/ui/sidebar-free/replacement-books-ready.png</x:v>
      </x:c>
      <x:c r="N122" s="42" t="str">
        <x:v>artifacts/ui/sidebar-free/replacement-books-applied-dark.png</x:v>
      </x:c>
      <x:c r="O122" s="42" t="str"/>
      <x:c r="P122" s="42" t="str"/>
      <x:c r="Q122" s="42" t="str">
        <x:v>root and blackout_benchmark_resume</x:v>
      </x:c>
      <x:c r="R122" s="52" t="n">
        <x:v>46269.983449074076</x:v>
      </x:c>
      <x:c r="S122" s="42" t="str">
        <x:v>This proves the in-memory dark demo interaction. Disk persistence, production Dock application, save-failure retry, keyboard, and VoiceOver remain open. The older replacement-books-disabled.png filename is misleading and is not defect evidence.</x:v>
      </x:c>
    </x:row>
    <x:row r="123">
      <x:c r="A123" s="42" t="str">
        <x:v>TR-MISSING-APPS-SKIP-DEMO-LIGHT-001</x:v>
      </x:c>
      <x:c r="B123" s="42" t="str">
        <x:v>XFR-006</x:v>
      </x:c>
      <x:c r="C123" s="42" t="str">
        <x:v>light demo skip-and-apply retention check, 2026-09-04</x:v>
      </x:c>
      <x:c r="D123" s="42" t="str">
        <x:v>Focused light demo app with one unavailable saved entry and one available app.</x:v>
      </x:c>
      <x:c r="E123" s="42" t="str">
        <x:v>The demo profile is selected but inactive and its unavailable-app review is open.</x:v>
      </x:c>
      <x:c r="F123" s="42" t="str">
        <x:v>Choose skip and apply, then inspect active state, item count, and retained unavailable entry.</x:v>
      </x:c>
      <x:c r="G123" s="42" t="str">
        <x:v>The demo profile becomes current and the unavailable entry remains saved rather than disappearing.</x:v>
      </x:c>
      <x:c r="H123" s="42" t="str">
        <x:v>The profile became current with two items and the unavailable entry remained first. The demo branch displayed its generic active message.</x:v>
      </x:c>
      <x:c r="I123" s="42" t="str">
        <x:v>Pass</x:v>
      </x:c>
      <x:c r="J123" s="42" t="str">
        <x:v>Pass</x:v>
      </x:c>
      <x:c r="K123" s="42" t="str">
        <x:v>Not applicable</x:v>
      </x:c>
      <x:c r="L123" s="42" t="str">
        <x:v>Not run</x:v>
      </x:c>
      <x:c r="M123" s="42" t="str"/>
      <x:c r="N123" s="42" t="str">
        <x:v>artifacts/ui/sidebar-free/missing-light-skip-apply-after-fix.png</x:v>
      </x:c>
      <x:c r="O123" s="42" t="str"/>
      <x:c r="P123" s="42" t="str"/>
      <x:c r="Q123" s="42" t="str">
        <x:v>root and blackout_benchmark_resume</x:v>
      </x:c>
      <x:c r="R123" s="52" t="n">
        <x:v>46269.97361111111</x:v>
      </x:c>
      <x:c r="S123" s="42" t="str">
        <x:v>The pass is limited to in-memory retention and active state. The production skipped-app report, real Dock result, persistence, keyboard, and VoiceOver remain unverified.</x:v>
      </x:c>
    </x:row>
    <x:row r="124">
      <x:c r="A124" s="42" t="str">
        <x:v>TR-APP-HOSTED-NATIVE-RECOVERY-001</x:v>
      </x:c>
      <x:c r="B124" s="42" t="str">
        <x:v>PRF-004, PRF-009, PRF-010, PRF-018, PRF-024, PRF-025, PRF-026, PRF-030, PRF-031, PRF-032, PRF-033, MEN-001, MEN-002, FOC-003, XFR-001, XFR-003, XFR-005, XFR-006, REL-001, REL-002, REL-006, REL-008, SET-004, BRD-001</x:v>
      </x:c>
      <x:c r="C124" s="42" t="str">
        <x:v>hosted app regression after native recovery sheet changes, 2026-09-04</x:v>
      </x:c>
      <x:c r="D124" s="42" t="str">
        <x:v>macOS 26.4.1 build 25E253 arm64 hosted process with isolated fixtures, mock Dock services, temporary stores, fake file pickers, disconnected native menus, and no real Dock mutation.</x:v>
      </x:c>
      <x:c r="E124" s="42" t="str">
        <x:v>The alternating-row and fitted presentation changes are integrated in the hosted target.</x:v>
      </x:c>
      <x:c r="F124" s="42" t="str">
        <x:v>Run the complete DockitAppTests target and parse the xcresult summary directly.</x:v>
      </x:c>
      <x:c r="G124" s="42" t="str">
        <x:v>Every declared and parameterized execution passes without failures or skips.</x:v>
      </x:c>
      <x:c r="H124" s="42" t="str">
        <x:v>The result passed 37 declared tests and 40 concrete executions with zero failures and zero skips on macOS 26.4.1 arm64.</x:v>
      </x:c>
      <x:c r="I124" s="42" t="str">
        <x:v>Pass</x:v>
      </x:c>
      <x:c r="J124" s="42" t="str">
        <x:v>Not run</x:v>
      </x:c>
      <x:c r="K124" s="42" t="str">
        <x:v>Not run</x:v>
      </x:c>
      <x:c r="L124" s="42" t="str">
        <x:v>Not run</x:v>
      </x:c>
      <x:c r="M124" s="42" t="str"/>
      <x:c r="N124" s="42" t="str">
        <x:v>artifacts/test-results/DockitAppTests-native-recovery-retest.xcresult</x:v>
      </x:c>
      <x:c r="O124" s="42" t="str"/>
      <x:c r="P124" s="42" t="str"/>
      <x:c r="Q124" s="42" t="str">
        <x:v>root and blackout_benchmark_resume</x:v>
      </x:c>
      <x:c r="R124" s="52" t="n">
        <x:v>46269.98428240741</x:v>
      </x:c>
      <x:c r="S124" s="42" t="str">
        <x:v>The existing result-staging Icon carriage-return warning did not prevent a complete xcresult summary. This hosted run does not prove real Dock, live Focus, visual motion, native VoiceOver, or accessibility appearance behavior.</x:v>
      </x:c>
    </x:row>
    <x:row r="125">
      <x:c r="A125" s="42" t="str">
        <x:v>TR-PICKER-GEOMETRY-PROBE-RED-001</x:v>
      </x:c>
      <x:c r="B125" s="42" t="str">
        <x:v>PRF-023, MEN-005, UX-003, MOT-005</x:v>
      </x:c>
      <x:c r="C125" s="42" t="str">
        <x:v>first picker geometry source probe, 2026-09-04</x:v>
      </x:c>
      <x:c r="D125" s="42" t="str">
        <x:v>Focused dark development app at 620 by 300 pixels with the Work profile selected.</x:v>
      </x:c>
      <x:c r="E125" s="42" t="str">
        <x:v>The probe split the picker chevrons into a separate image, set a 104 point minimum label width, and added 12 points of outer trailing padding.</x:v>
      </x:c>
      <x:c r="F125" s="42" t="str">
        <x:v>Launch the probe build, focus the editor, inspect the picker width, right alignment, visible chevrons, and accessibility representation, then compare the result with the existing reference mismatch.</x:v>
      </x:c>
      <x:c r="G125" s="42" t="str">
        <x:v>The picker becomes wider than Edit Dock, shares its right edge, keeps the full paired chevrons visible, and remains one accessible menu control.</x:v>
      </x:c>
      <x:c r="H125" s="42" t="str">
        <x:v>The picker width and trailing position did not change, the visible chevrons disappeared, and accessibility retained only the menu label work.</x:v>
      </x:c>
      <x:c r="I125" s="42" t="str">
        <x:v>Not run</x:v>
      </x:c>
      <x:c r="J125" s="42" t="str">
        <x:v>Fail</x:v>
      </x:c>
      <x:c r="K125" s="42" t="str">
        <x:v>Not run</x:v>
      </x:c>
      <x:c r="L125" s="42" t="str">
        <x:v>Fail</x:v>
      </x:c>
      <x:c r="M125" s="42" t="str"/>
      <x:c r="N125" s="42" t="str">
        <x:v>artifacts/ui/sidebar-free/picker-work-dark-focused-probe.png</x:v>
      </x:c>
      <x:c r="O125" s="42" t="str"/>
      <x:c r="P125" s="42" t="str">
        <x:v>DEF-068</x:v>
      </x:c>
      <x:c r="Q125" s="42" t="str">
        <x:v>root and blackout_benchmark_resume</x:v>
      </x:c>
      <x:c r="R125" s="52" t="n">
        <x:v>46269.98753472222</x:v>
      </x:c>
      <x:c r="S125" s="42" t="str">
        <x:v>This is a rejected probe, not an accepted implementation. DEF-068 remains open. The next probe will restore inline chevrons and test a SwiftUI layout wrapper around the native Menu. No reference-frame coverage or motion verdict changes in this run.</x:v>
      </x:c>
    </x:row>
    <x:row r="126">
      <x:c r="A126" s="42" t="str">
        <x:v>TR-CORE-PACKAGE-EXCLUSION-GREEN-001</x:v>
      </x:c>
      <x:c r="B126" s="42" t="str">
        <x:v>MOT-005</x:v>
      </x:c>
      <x:c r="C126" s="42" t="str">
        <x:v>ReferenceVideo package exclusion correction, 2026-09-04</x:v>
      </x:c>
      <x:c r="D126" s="42" t="str">
        <x:v>SwiftPM on macOS 26.4.1 using isolated core fixtures and no real Dock mutation.</x:v>
      </x:c>
      <x:c r="E126" s="42" t="str">
        <x:v>Package.swift explicitly excludes ReferenceVideo.mjs and ReferenceVideoTests.mjs from the DockProbe target.</x:v>
      </x:c>
      <x:c r="F126" s="42" t="str">
        <x:v>Run the complete DockitCore suite, retain all output, and scan it for the prior unhandled-file warning and other warning or error records.</x:v>
      </x:c>
      <x:c r="G126" s="42" t="str">
        <x:v>All 76 Swift Testing cases and 8 XCTest cases pass, and SwiftPM no longer reports either ReferenceVideo tool as unhandled.</x:v>
      </x:c>
      <x:c r="H126" s="42" t="str">
        <x:v>All 76 Swift Testing cases and 8 XCTest cases passed with zero failures. The retained log contains no unhandled-file, warning, or error record.</x:v>
      </x:c>
      <x:c r="I126" s="42" t="str">
        <x:v>Pass</x:v>
      </x:c>
      <x:c r="J126" s="42" t="str">
        <x:v>Not applicable</x:v>
      </x:c>
      <x:c r="K126" s="42" t="str">
        <x:v>Not applicable</x:v>
      </x:c>
      <x:c r="L126" s="42" t="str">
        <x:v>Not applicable</x:v>
      </x:c>
      <x:c r="M126" s="42" t="str"/>
      <x:c r="N126" s="42" t="str">
        <x:v>artifacts/package-exclusion-core-retest.log</x:v>
      </x:c>
      <x:c r="O126" s="42" t="str"/>
      <x:c r="P126" s="42" t="str">
        <x:v>DEF-070</x:v>
      </x:c>
      <x:c r="Q126" s="42" t="str">
        <x:v>root and blackout_benchmark_resume</x:v>
      </x:c>
      <x:c r="R126" s="52" t="n">
        <x:v>46269.99133101852</x:v>
      </x:c>
      <x:c r="S126" s="42" t="str">
        <x:v>This closes only the bounded package-hygiene defect. The run does not verify reference-video completion, app UI, real Dock behavior, live Focus, or motion.</x:v>
      </x:c>
    </x:row>
    <x:row r="127">
      <x:c r="A127" s="42" t="str">
        <x:v>TR-PICKER-GEOMETRY-WRAPPER-PROBE-RED-001</x:v>
      </x:c>
      <x:c r="B127" s="42" t="str">
        <x:v>PRF-023, MEN-005, UX-003, MOT-005</x:v>
      </x:c>
      <x:c r="C127" s="42" t="str">
        <x:v>SwiftUI picker wrapper geometry probe, 2026-09-04</x:v>
      </x:c>
      <x:c r="D127" s="42" t="str">
        <x:v>Focused dark development app at 620 by 300 pixels with the Work profile selected.</x:v>
      </x:c>
      <x:c r="E127" s="42" t="str">
        <x:v>The native Menu was placed in a SwiftUI layout wrapper while preserving the inline paired chevrons.</x:v>
      </x:c>
      <x:c r="F127" s="42" t="str">
        <x:v>Launch the probe build and compare picker width, right edge, glass background, and paired chevrons with Edit Dock and the reference geometry.</x:v>
      </x:c>
      <x:c r="G127" s="42" t="str">
        <x:v>The picker becomes wider than Edit Dock, shares its right edge, keeps the visible paired chevrons, and retains its native glass surface.</x:v>
      </x:c>
      <x:c r="H127" s="42" t="str">
        <x:v>The paired chevrons remained visible, but the shared glass right edge and narrow picker geometry did not change.</x:v>
      </x:c>
      <x:c r="I127" s="42" t="str">
        <x:v>Not run</x:v>
      </x:c>
      <x:c r="J127" s="42" t="str">
        <x:v>Fail</x:v>
      </x:c>
      <x:c r="K127" s="42" t="str">
        <x:v>Not run</x:v>
      </x:c>
      <x:c r="L127" s="42" t="str">
        <x:v>Not run</x:v>
      </x:c>
      <x:c r="M127" s="42" t="str"/>
      <x:c r="N127" s="42" t="str">
        <x:v>artifacts/ui/sidebar-free/picker-work-dark-wrapper-probe.png</x:v>
      </x:c>
      <x:c r="O127" s="42" t="str"/>
      <x:c r="P127" s="42" t="str">
        <x:v>DEF-068</x:v>
      </x:c>
      <x:c r="Q127" s="42" t="str">
        <x:v>root and blackout_benchmark_resume</x:v>
      </x:c>
      <x:c r="R127" s="52" t="n">
        <x:v>46269.98929398148</x:v>
      </x:c>
      <x:c r="S127" s="42" t="str">
        <x:v>This probe is rejected and its source changes were reverted. Production keeps the previously verified baseline picker while architecture options are compared.</x:v>
      </x:c>
    </x:row>
    <x:row r="128">
      <x:c r="A128" s="42" t="str">
        <x:v>TR-PICKER-NATIVE-BACKGROUND-PROBE-RED-001</x:v>
      </x:c>
      <x:c r="B128" s="42" t="str">
        <x:v>PRF-023, MEN-005, UX-003, MOT-005</x:v>
      </x:c>
      <x:c r="C128" s="42" t="str">
        <x:v>native picker background geometry probe, 2026-09-04</x:v>
      </x:c>
      <x:c r="D128" s="42" t="str">
        <x:v>Focused dark development app at 620 by 300 pixels with the Research, writing, and deep work profile selected.</x:v>
      </x:c>
      <x:c r="E128" s="42" t="str">
        <x:v>The probe hid the shared toolbar glass so the native Menu background could be evaluated independently.</x:v>
      </x:c>
      <x:c r="F128" s="42" t="str">
        <x:v>Launch the probe build and inspect picker width, right alignment, paired chevrons, and visible button background.</x:v>
      </x:c>
      <x:c r="G128" s="42" t="str">
        <x:v>The control keeps a clear native button surface and paired chevrons while matching the reference width and right edge.</x:v>
      </x:c>
      <x:c r="H128" s="42" t="str">
        <x:v>The shared glass disappeared and the control lost its visible button background. The probe did not yield an acceptable picker architecture.</x:v>
      </x:c>
      <x:c r="I128" s="42" t="str">
        <x:v>Not run</x:v>
      </x:c>
      <x:c r="J128" s="42" t="str">
        <x:v>Fail</x:v>
      </x:c>
      <x:c r="K128" s="42" t="str">
        <x:v>Not run</x:v>
      </x:c>
      <x:c r="L128" s="42" t="str">
        <x:v>Not run</x:v>
      </x:c>
      <x:c r="M128" s="42" t="str"/>
      <x:c r="N128" s="42" t="str">
        <x:v>artifacts/ui/sidebar-free/picker-research-dark-native-background-probe.png</x:v>
      </x:c>
      <x:c r="O128" s="42" t="str"/>
      <x:c r="P128" s="42" t="str">
        <x:v>DEF-068</x:v>
      </x:c>
      <x:c r="Q128" s="42" t="str">
        <x:v>root and blackout_benchmark_resume</x:v>
      </x:c>
      <x:c r="R128" s="52" t="n">
        <x:v>46269.991875</x:v>
      </x:c>
      <x:c r="S128" s="42" t="str">
        <x:v>This probe is rejected and its source changes were reverted. Production keeps the previously verified baseline picker while two native architecture sketches are compared.</x:v>
      </x:c>
    </x:row>
    <x:row r="129">
      <x:c r="A129" s="42" t="str">
        <x:v>TR-REFERENCE-SPACER-INSERTION-AUDIT-001</x:v>
      </x:c>
      <x:c r="B129" s="42" t="str">
        <x:v>PRF-021, PRF-028, MEN-005, UX-003, MOT-005</x:v>
      </x:c>
      <x:c r="C129" s="42" t="str">
        <x:v>standalone reference spacer insertion audit, 2026-09-04</x:v>
      </x:c>
      <x:c r="D129" s="42" t="str">
        <x:v>Original 2160 by 2160 reference frames 500 through 540 at their original presentation timestamps, compared with the current 620 by 300 editor capture and source geometry.</x:v>
      </x:c>
      <x:c r="E129" s="42" t="str">
        <x:v>All 41 frames were individually inspected at original detail. Root read the complete audit and independently inspected original frames 500 and 540.</x:v>
      </x:c>
      <x:c r="F129" s="42" t="str">
        <x:v>Trace the open Add Spacer menu through dismissal and insertion, identify the selected command, establish the first clear inserted marker interval, measure same-frame marker proportions, and compare them with current preview geometry.</x:v>
      </x:c>
      <x:c r="G129" s="42" t="str">
        <x:v>The selected Regular command produces a tall narrow rounded preview marker while preserving item order. The comparison must not infer Small geometry or Dock spacer semantics that the sequence does not show.</x:v>
      </x:c>
      <x:c r="H129" s="42" t="str">
        <x:v>Regular is the only highlighted size before dismissal. A new end marker is established in frames 537 through 540. At frame 540 its painted bounds are about 55 by 108 source pixels, or 0.51 width to height. dockit's reviewed Regular marker is 40 by 40 points, or 1.0 width to height.</x:v>
      </x:c>
      <x:c r="I129" s="42" t="str">
        <x:v>Pass</x:v>
      </x:c>
      <x:c r="J129" s="42" t="str">
        <x:v>Fail</x:v>
      </x:c>
      <x:c r="K129" s="42" t="str">
        <x:v>Not run</x:v>
      </x:c>
      <x:c r="L129" s="42" t="str">
        <x:v>Not applicable</x:v>
      </x:c>
      <x:c r="M129" s="42" t="str">
        <x:v>artifacts/video-reference/frames/frame-000500.png</x:v>
      </x:c>
      <x:c r="N129" s="42" t="str">
        <x:v>artifacts/video-reference/frames/frame-000540.png</x:v>
      </x:c>
      <x:c r="O129" s="42" t="str">
        <x:v>benja_-_here_s_a_quick_video_on_how_works_made_it_for_myself_turns_out_many_cgVZUA.mp4</x:v>
      </x:c>
      <x:c r="P129" s="42" t="str">
        <x:v>DEF-071</x:v>
      </x:c>
      <x:c r="Q129" s="42" t="str">
        <x:v>missing_list_fix, root, and blackout_benchmark_resume</x:v>
      </x:c>
      <x:c r="R129" s="52" t="n">
        <x:v>46270.00114583333</x:v>
      </x:c>
      <x:c r="S129" s="42" t="str">
        <x:v>The functional pass applies only to the bounded audit and command-to-result identification. This standalone audit has not been merged into formal frame coverage, which remains 30 of 2,374. It does not establish Small geometry, persistence, Dock export mapping, or a motion verdict.</x:v>
      </x:c>
    </x:row>
    <x:row r="130">
      <x:c r="A130" s="42" t="str">
        <x:v>TR-PICKER-HOSTED-SWIFTUI-PROBE-RED-001</x:v>
      </x:c>
      <x:c r="B130" s="42" t="str">
        <x:v>PRF-023, MEN-005, UX-003, MOT-005</x:v>
      </x:c>
      <x:c r="C130" s="42" t="str">
        <x:v>AppKit-hosted SwiftUI picker probe, 2026-09-04</x:v>
      </x:c>
      <x:c r="D130" s="42" t="str">
        <x:v>Focused dark development app at 620 by 300 pixels with the Research, writing, and deep work profile selected.</x:v>
      </x:c>
      <x:c r="E130" s="42" t="str">
        <x:v>The hosted SwiftUI picker candidate was the only compiled probe source. Root verified one running app process and the current compiled file before capture.</x:v>
      </x:c>
      <x:c r="F130" s="42" t="str">
        <x:v>Launch the hosted candidate and inspect its native toolbar placement, shared glass visibility, profile name, paired chevrons, and relationship to Edit Dock.</x:v>
      </x:c>
      <x:c r="G130" s="42" t="str">
        <x:v>The hosted boundary preserves a visible native glass button, full profile name, paired chevrons, and the reference picker geometry.</x:v>
      </x:c>
      <x:c r="H130" s="42" t="str">
        <x:v>The full profile name and paired chevrons remained, but the hosted control had no visible glass button surface and did not produce an acceptable picker.</x:v>
      </x:c>
      <x:c r="I130" s="42" t="str">
        <x:v>Not run</x:v>
      </x:c>
      <x:c r="J130" s="42" t="str">
        <x:v>Fail</x:v>
      </x:c>
      <x:c r="K130" s="42" t="str">
        <x:v>Not run</x:v>
      </x:c>
      <x:c r="L130" s="42" t="str">
        <x:v>Not run</x:v>
      </x:c>
      <x:c r="M130" s="42" t="str"/>
      <x:c r="N130" s="42" t="str">
        <x:v>artifacts/ui/sidebar-free/picker-host-research-dark-default.png</x:v>
      </x:c>
      <x:c r="O130" s="42" t="str"/>
      <x:c r="P130" s="42" t="str">
        <x:v>DEF-068</x:v>
      </x:c>
      <x:c r="Q130" s="42" t="str">
        <x:v>root and blackout_benchmark_resume</x:v>
      </x:c>
      <x:c r="R130" s="52" t="n">
        <x:v>46269.9999537037</x:v>
      </x:c>
      <x:c r="S130" s="42" t="str">
        <x:v>This later hosted probe produced byte-identical pixels to the earlier no-background result, but root separately verified its single-process and current-source execution context. The helper source was removed and production returned to the accepted baseline. Candidate B remains under independent evaluation.</x:v>
      </x:c>
    </x:row>
    <x:row r="131">
      <x:c r="A131" s="42" t="str">
        <x:v>TR-REFERENCE-FRAMES-000500-000540-MERGE-001</x:v>
      </x:c>
      <x:c r="B131" s="42" t="str">
        <x:v>PRF-021, PRF-028, MEN-005, UX-003, MOT-005</x:v>
      </x:c>
      <x:c r="C131" s="42" t="str">
        <x:v>formal reference coverage merge through 71 reviewed frames, 2026-09-04</x:v>
      </x:c>
      <x:c r="D131" s="42" t="str">
        <x:v>Original 2160 by 2160 source frames at their original presentation timestamps, canonical annotations, strict coverage gate, and the ReferenceVideo tool test suite.</x:v>
      </x:c>
      <x:c r="E131" s="42" t="str">
        <x:v>The complete 41-frame spacer audit was accepted after root read it in full and independently inspected original frames 500 and 540. No equivalent dockit menu and insertion recording exists for this interval.</x:v>
      </x:c>
      <x:c r="F131" s="42" t="str">
        <x:v>Merge frames 500 through 540 into annotations.json, regenerate coverage, run the strict incomplete gate, and rerun all ReferenceVideo tool tests.</x:v>
      </x:c>
      <x:c r="G131" s="42" t="str">
        <x:v>Formal coverage reaches 71 of 2,374 with 2,303 unreviewed. The 41 newly merged frames remain notComparable, the incomplete gate exits 1, and all six tool tests pass.</x:v>
      </x:c>
      <x:c r="H131" s="42" t="str">
        <x:v>Coverage is 71 reviewed and 2,303 unreviewed. Outcomes are 30 difference and 41 notComparable. The strict incomplete gate exits 1 as expected, and all six ReferenceVideo tests pass. No matched-state or motion comparison is claimed for frames 500 through 540.</x:v>
      </x:c>
      <x:c r="I131" s="42" t="str">
        <x:v>Pass</x:v>
      </x:c>
      <x:c r="J131" s="42" t="str">
        <x:v>Not run</x:v>
      </x:c>
      <x:c r="K131" s="42" t="str">
        <x:v>Not run</x:v>
      </x:c>
      <x:c r="L131" s="42" t="str">
        <x:v>Not applicable</x:v>
      </x:c>
      <x:c r="M131" s="42" t="str"/>
      <x:c r="N131" s="42" t="str">
        <x:v>artifacts/video-reference/coverage.json</x:v>
      </x:c>
      <x:c r="O131" s="42" t="str">
        <x:v>benja_-_here_s_a_quick_video_on_how_works_made_it_for_myself_turns_out_many_cgVZUA.mp4</x:v>
      </x:c>
      <x:c r="P131" s="42" t="str">
        <x:v>DEF-071</x:v>
      </x:c>
      <x:c r="Q131" s="42" t="str">
        <x:v>root and blackout_benchmark_resume</x:v>
      </x:c>
      <x:c r="R131" s="52" t="n">
        <x:v>46270.004375</x:v>
      </x:c>
      <x:c r="S131" s="42" t="str">
        <x:v>This passes coverage integrity only. The 41 spacer frames have no equivalent current-app menu and insertion recording, so they are notComparable. Full visual parity, motion timing, and the remaining 2,303 frames stay open.</x:v>
      </x:c>
    </x:row>
    <x:row r="132">
      <x:c r="A132" s="42" t="str">
        <x:v>TR-NATIVE-PICKER-ACTOR-COMPILE-RED-001</x:v>
      </x:c>
      <x:c r="B132" s="42" t="str">
        <x:v>PRF-023, MEN-002, MEN-005, UX-003</x:v>
      </x:c>
      <x:c r="C132" s="42" t="str">
        <x:v>initial native AppKit profile picker candidate, 2026-09-04</x:v>
      </x:c>
      <x:c r="D132" s="42" t="str">
        <x:v>DockitAppTests hosted build on macOS 26.4.1 arm64 with isolated fixtures and no real Dock mutation.</x:v>
      </x:c>
      <x:c r="E132" s="42" t="str">
        <x:v>The first native picker candidate and its coordinator were added to the hosted test target.</x:v>
      </x:c>
      <x:c r="F132" s="42" t="str">
        <x:v>Build and run the DockitAppTests scheme with a retained result bundle and complete log.</x:v>
      </x:c>
      <x:c r="G132" s="42" t="str">
        <x:v>The candidate compiles under Swift 6 actor isolation and reaches its hosted tests.</x:v>
      </x:c>
      <x:c r="H132" s="42" t="str">
        <x:v>Compilation failed before tests ran. Coordinator methods accessed main actor-isolated model and AppKit state from a nonisolated context.</x:v>
      </x:c>
      <x:c r="I132" s="42" t="str">
        <x:v>Blocked</x:v>
      </x:c>
      <x:c r="J132" s="42" t="str">
        <x:v>Not run</x:v>
      </x:c>
      <x:c r="K132" s="42" t="str">
        <x:v>Not run</x:v>
      </x:c>
      <x:c r="L132" s="42" t="str">
        <x:v>Not run</x:v>
      </x:c>
      <x:c r="M132" s="42" t="str"/>
      <x:c r="N132" s="42" t="str">
        <x:v>artifacts/native-picker-hosted-tests.log</x:v>
      </x:c>
      <x:c r="O132" s="42" t="str"/>
      <x:c r="P132" s="42" t="str">
        <x:v>DEF-072</x:v>
      </x:c>
      <x:c r="Q132" s="42" t="str">
        <x:v>root</x:v>
      </x:c>
      <x:c r="R132" s="52" t="n">
        <x:v>46270.00650462963</x:v>
      </x:c>
      <x:c r="S132" s="42" t="str">
        <x:v>The result bundle contains no test executions because the build failed. No UI or runtime claim comes from this run.</x:v>
      </x:c>
    </x:row>
    <x:row r="133">
      <x:c r="A133" s="42" t="str">
        <x:v>TR-NATIVE-PICKER-WRAP-MEASUREMENT-RED-001</x:v>
      </x:c>
      <x:c r="B133" s="42" t="str">
        <x:v>PRF-003, PRF-029, MEN-005, UX-001, UX-003</x:v>
      </x:c>
      <x:c r="C133" s="42" t="str">
        <x:v>actor-corrected native picker measurement probe, 2026-09-04</x:v>
      </x:c>
      <x:c r="D133" s="42" t="str">
        <x:v>DockitAppTests hosted process on macOS 26.4.1 arm64 using an isolated native picker instance.</x:v>
      </x:c>
      <x:c r="E133" s="42" t="str">
        <x:v>The coordinator compiles after the main actor correction, and the strict long-name measurement assertion is enabled.</x:v>
      </x:c>
      <x:c r="F133" s="42" t="str">
        <x:v>Run the full hosted suite and compare the measured height of work with a 32-grapheme wide CJK profile name.</x:v>
      </x:c>
      <x:c r="G133" s="42" t="str">
        <x:v>The wide name measures taller than the short name so the control can wrap instead of truncating.</x:v>
      </x:c>
      <x:c r="H133" s="42" t="str">
        <x:v>The strict assertion failed because both names measured 28 points high. The overall 41-test run ended with one issue.</x:v>
      </x:c>
      <x:c r="I133" s="42" t="str">
        <x:v>Fail</x:v>
      </x:c>
      <x:c r="J133" s="42" t="str">
        <x:v>Not run</x:v>
      </x:c>
      <x:c r="K133" s="42" t="str">
        <x:v>Not run</x:v>
      </x:c>
      <x:c r="L133" s="42" t="str">
        <x:v>Not run</x:v>
      </x:c>
      <x:c r="M133" s="42" t="str"/>
      <x:c r="N133" s="42" t="str">
        <x:v>artifacts/native-picker-hosted-retest.log</x:v>
      </x:c>
      <x:c r="O133" s="42" t="str"/>
      <x:c r="P133" s="42" t="str">
        <x:v>DEF-073</x:v>
      </x:c>
      <x:c r="Q133" s="42" t="str">
        <x:v>root</x:v>
      </x:c>
      <x:c r="R133" s="52" t="n">
        <x:v>46270.008055555554</x:v>
      </x:c>
      <x:c r="S133" s="42" t="str">
        <x:v>This is an isolated measurement failure, not a live screenshot verdict. The staged result bundle is incomplete, but the complete log retains the failing assertion.</x:v>
      </x:c>
    </x:row>
    <x:row r="134">
      <x:c r="A134" s="42" t="str">
        <x:v>TR-NATIVE-PICKER-CELL-HOSTED-GREEN-001</x:v>
      </x:c>
      <x:c r="B134" s="42" t="str">
        <x:v>PRF-003, PRF-004, PRF-009, PRF-023, PRF-029, MEN-002, MEN-005, UX-001, UX-003</x:v>
      </x:c>
      <x:c r="C134" s="42" t="str">
        <x:v>native picker cell contract retest, 2026-09-04</x:v>
      </x:c>
      <x:c r="D134" s="42" t="str">
        <x:v>macOS 26.4.1 arm64 hosted process with isolated AppModel fixtures, disconnected native menus, no real Dock mutation, and no live UI claim.</x:v>
      </x:c>
      <x:c r="E134" s="42" t="str">
        <x:v>Coordinator isolation and native cell title measurement are corrected. Menu projection, stable command identity, stale-command safety, and wrapping tests are present.</x:v>
      </x:c>
      <x:c r="F134" s="42" t="str">
        <x:v>Run the complete DockitAppTests target and parse the retained result bundle summary.</x:v>
      </x:c>
      <x:c r="G134" s="42" t="str">
        <x:v>All declared and parameterized tests pass without failures or skips.</x:v>
      </x:c>
      <x:c r="H134" s="42" t="str">
        <x:v>The result passed 41 declared tests and 44 concrete executions with zero failures and zero skips. Native menu projection, stable command targets, stale-command safety, and wrapping measurement all pass.</x:v>
      </x:c>
      <x:c r="I134" s="42" t="str">
        <x:v>Pass</x:v>
      </x:c>
      <x:c r="J134" s="42" t="str">
        <x:v>Not run</x:v>
      </x:c>
      <x:c r="K134" s="42" t="str">
        <x:v>Not run</x:v>
      </x:c>
      <x:c r="L134" s="42" t="str">
        <x:v>Not run</x:v>
      </x:c>
      <x:c r="M134" s="42" t="str"/>
      <x:c r="N134" s="42" t="str">
        <x:v>artifacts/test-results/DockitAppTests-native-picker-cell-retest.xcresult</x:v>
      </x:c>
      <x:c r="O134" s="42" t="str"/>
      <x:c r="P134" s="42" t="str">
        <x:v>DEF-068, DEF-072, DEF-073</x:v>
      </x:c>
      <x:c r="Q134" s="42" t="str">
        <x:v>root and blackout_benchmark_resume</x:v>
      </x:c>
      <x:c r="R134" s="52" t="n">
        <x:v>46270.01204861111</x:v>
      </x:c>
      <x:c r="S134" s="42" t="str">
        <x:v>The result-staging Icon carriage-return warning remains, but the xcresult summary is complete. This automated run does not prove the native picker bezel, live VoiceOver speech, light or dark visual parity, or real Dock behavior.</x:v>
      </x:c>
    </x:row>
    <x:row r="135">
      <x:c r="A135" s="42" t="str">
        <x:v>TR-NATIVE-PICKER-BLANK-DISPLAY-RED-001</x:v>
      </x:c>
      <x:c r="B135" s="42" t="str">
        <x:v>PRF-003, PRF-004, PRF-023, MEN-005, UX-001, UX-003</x:v>
      </x:c>
      <x:c r="C135" s="42" t="str">
        <x:v>first native NSPopUpButton runtime probe, 2026-09-04</x:v>
      </x:c>
      <x:c r="D135" s="42" t="str">
        <x:v>Focused dark development app at 620 by 300 pixels with Work selected.</x:v>
      </x:c>
      <x:c r="E135" s="42" t="str">
        <x:v>The native popup candidate compiles and launches with a replacement wrapping cell.</x:v>
      </x:c>
      <x:c r="F135" s="42" t="str">
        <x:v>Open the focused editor and inspect the picker for its selected profile title, swatch, arrows, and background.</x:v>
      </x:c>
      <x:c r="G135" s="42" t="str">
        <x:v>The picker visibly identifies Work with its color swatch and native arrows.</x:v>
      </x:c>
      <x:c r="H135" s="42" t="str">
        <x:v>Only the arrows were visible. The selected profile title and color swatch were blank.</x:v>
      </x:c>
      <x:c r="I135" s="42" t="str">
        <x:v>Not run</x:v>
      </x:c>
      <x:c r="J135" s="42" t="str">
        <x:v>Fail</x:v>
      </x:c>
      <x:c r="K135" s="42" t="str">
        <x:v>Not run</x:v>
      </x:c>
      <x:c r="L135" s="42" t="str">
        <x:v>Not run</x:v>
      </x:c>
      <x:c r="M135" s="42" t="str"/>
      <x:c r="N135" s="42" t="str">
        <x:v>artifacts/ui/sidebar-free/picker-native-popup-work-dark-first.png</x:v>
      </x:c>
      <x:c r="O135" s="42" t="str"/>
      <x:c r="P135" s="42" t="str">
        <x:v>DEF-074</x:v>
      </x:c>
      <x:c r="Q135" s="42" t="str">
        <x:v>root</x:v>
      </x:c>
      <x:c r="R135" s="52" t="n">
        <x:v>46270.01025462963</x:v>
      </x:c>
      <x:c r="S135" s="42" t="str">
        <x:v>The preview in this rejected picker build already shows the narrowed Regular spacer paint. Picker title and swatch failure is tracked separately from that spacer geometry.</x:v>
      </x:c>
    </x:row>
    <x:row r="136">
      <x:c r="A136" s="42" t="str">
        <x:v>TR-NATIVE-PICKER-CELL-LIGHT-RED-001</x:v>
      </x:c>
      <x:c r="B136" s="42" t="str">
        <x:v>PRF-003, PRF-004, PRF-009, PRF-023, PRF-029, MEN-002, MEN-004, MEN-005, UX-001, UX-003</x:v>
      </x:c>
      <x:c r="C136" s="42" t="str">
        <x:v>native picker cell light runtime before bezel correction, 2026-09-04</x:v>
      </x:c>
      <x:c r="D136" s="42" t="str">
        <x:v>Focused light development app at 620 by 300 pixels with Reading, Work, and a 32-CJK-grapheme profile inspected.</x:v>
      </x:c>
      <x:c r="E136" s="42" t="str">
        <x:v>The dedicated display menu item and wrapped title measurement are integrated. The popup cell still defaults to an unbordered control.</x:v>
      </x:c>
      <x:c r="F136" s="42" t="str">
        <x:v>Inspect Reading and Work, open the native picker menu through accessibility, confirm all actions, select Work, invoke rename, verify active state does not change, and inspect the 32-CJK title at the same width.</x:v>
      </x:c>
      <x:c r="G136" s="42" t="str">
        <x:v>The picker shows the full selected title, color swatch, paired native arrows, and a visible glass bezel. Its menu exposes every action, selection remains separate from active state, and the maximum-length name wraps without ellipsis.</x:v>
      </x:c>
      <x:c r="H136" s="42" t="str">
        <x:v>Titles, swatches, and arrows render. The 32-CJK title wraps onto two lines without ellipsis. Accessibility exposes all menu actions, and Work inspection and rename preserve the active state. The control has no visible glass bezel, so the visual result still fails DEF-068.</x:v>
      </x:c>
      <x:c r="I136" s="42" t="str">
        <x:v>Pass</x:v>
      </x:c>
      <x:c r="J136" s="42" t="str">
        <x:v>Fail</x:v>
      </x:c>
      <x:c r="K136" s="42" t="str">
        <x:v>Not run</x:v>
      </x:c>
      <x:c r="L136" s="42" t="str">
        <x:v>Pass</x:v>
      </x:c>
      <x:c r="M136" s="42" t="str"/>
      <x:c r="N136" s="42" t="str">
        <x:v>artifacts/ui/sidebar-free/picker-native-cell-wide-name-light-before-border.png</x:v>
      </x:c>
      <x:c r="O136" s="42" t="str"/>
      <x:c r="P136" s="42" t="str">
        <x:v>DEF-068, DEF-073, DEF-074</x:v>
      </x:c>
      <x:c r="Q136" s="42" t="str">
        <x:v>root and blackout_benchmark_resume</x:v>
      </x:c>
      <x:c r="R136" s="52" t="n">
        <x:v>46270.01611111111</x:v>
      </x:c>
      <x:c r="S136" s="42" t="str">
        <x:v>The accessibility pass is limited to action exposure and tested selection and rename behavior. VoiceOver speech, disabled states, dark appearance, pointer behavior, and full app keyboard traversal remain open.</x:v>
      </x:c>
    </x:row>
    <x:row r="137">
      <x:c r="A137" s="42" t="str">
        <x:v>TR-REGULAR-SPACER-PAINT-GREEN-001</x:v>
      </x:c>
      <x:c r="B137" s="42" t="str">
        <x:v>PRF-021, PRF-028, MEN-005, UX-003, MOT-005</x:v>
      </x:c>
      <x:c r="C137" s="42" t="str">
        <x:v>narrow Regular spacer preview paint, 2026-09-04</x:v>
      </x:c>
      <x:c r="D137" s="42" t="str">
        <x:v>Focused light and dark development captures at 620 by 300 pixels, with direct root review and a separate pixel sample. No real Dock mutation.</x:v>
      </x:c>
      <x:c r="E137" s="42" t="str">
        <x:v>Regular retains its 40 point logical slot and hit area while its painted rounded marker is narrowed to 20 by 40. Small remains unchanged.</x:v>
      </x:c>
      <x:c r="F137" s="42" t="str">
        <x:v>Inspect the Regular marker in light and dark captures, sample its painted bounds, compare with the prior 40 by 40 paint and reference frames 500 and 540, and confirm the logical Regular slot remains 40 points.</x:v>
      </x:c>
      <x:c r="G137" s="42" t="str">
        <x:v>Regular paints at 20 by 40 inside its unchanged 40 point slot, preserving the centered rule and avoiding any claim about Small or Dock semantics.</x:v>
      </x:c>
      <x:c r="H137" s="42" t="str">
        <x:v>The old Regular paint sampled at 40 by 40. The current paint samples at 20 by 40 while the logical slot remains 40 points. The narrow static shape matches the bounded reference proportion finding.</x:v>
      </x:c>
      <x:c r="I137" s="42" t="str">
        <x:v>Not run</x:v>
      </x:c>
      <x:c r="J137" s="42" t="str">
        <x:v>Pass</x:v>
      </x:c>
      <x:c r="K137" s="42" t="str">
        <x:v>Not run</x:v>
      </x:c>
      <x:c r="L137" s="42" t="str">
        <x:v>Not run</x:v>
      </x:c>
      <x:c r="M137" s="42" t="str">
        <x:v>artifacts/video-reference/work-current-after-separator.png</x:v>
      </x:c>
      <x:c r="N137" s="42" t="str">
        <x:v>artifacts/ui/sidebar-free/picker-native-cell-work-light-focused.png</x:v>
      </x:c>
      <x:c r="O137" s="42" t="str"/>
      <x:c r="P137" s="42" t="str">
        <x:v>DEF-071</x:v>
      </x:c>
      <x:c r="Q137" s="42" t="str">
        <x:v>root, picker_native_alternative, and blackout_benchmark_resume</x:v>
      </x:c>
      <x:c r="R137" s="52" t="n">
        <x:v>46270.01568287037</x:v>
      </x:c>
      <x:c r="S137" s="42" t="str">
        <x:v>This is a bounded static shape pass. Spacer insertion, drag, selection, keyboard behavior, Small geometry, persistence, export, and real Dock semantics remain unverified. The unrelated picker display defects in these captures do not change the spacer measurement.</x:v>
      </x:c>
    </x:row>
    <x:row r="138">
      <x:c r="A138" s="42" t="str">
        <x:v>TR-NATIVE-PICKER-BORDER-CELL-HOSTED-GREEN-001</x:v>
      </x:c>
      <x:c r="B138" s="42" t="str">
        <x:v>PRF-003, PRF-004, PRF-009, PRF-023, PRF-029, MEN-002, MEN-005, UX-001, UX-003</x:v>
      </x:c>
      <x:c r="C138" s="42" t="str">
        <x:v>native picker bordered-cell hosted retest, 2026-09-04</x:v>
      </x:c>
      <x:c r="D138" s="42" t="str">
        <x:v>macOS 26.4.1 arm64 hosted process with isolated fixtures, disconnected native menus, and no real Dock mutation.</x:v>
      </x:c>
      <x:c r="E138" s="42" t="str">
        <x:v>The replacement native popup cell restores isBordered and the full picker contract suite is present.</x:v>
      </x:c>
      <x:c r="F138" s="42" t="str">
        <x:v>Run the complete DockitAppTests target and parse the retained result bundle summary.</x:v>
      </x:c>
      <x:c r="G138" s="42" t="str">
        <x:v>All declared and parameterized tests pass without failures or skips.</x:v>
      </x:c>
      <x:c r="H138" s="42" t="str">
        <x:v>The result passed 41 declared tests and 44 concrete executions with zero failures and zero skips.</x:v>
      </x:c>
      <x:c r="I138" s="42" t="str">
        <x:v>Pass</x:v>
      </x:c>
      <x:c r="J138" s="42" t="str">
        <x:v>Not run</x:v>
      </x:c>
      <x:c r="K138" s="42" t="str">
        <x:v>Not run</x:v>
      </x:c>
      <x:c r="L138" s="42" t="str">
        <x:v>Not run</x:v>
      </x:c>
      <x:c r="M138" s="42" t="str"/>
      <x:c r="N138" s="42" t="str">
        <x:v>artifacts/test-results/DockitAppTests-native-picker-border-retest.xcresult</x:v>
      </x:c>
      <x:c r="O138" s="42" t="str"/>
      <x:c r="P138" s="42" t="str">
        <x:v>DEF-068</x:v>
      </x:c>
      <x:c r="Q138" s="42" t="str">
        <x:v>root and blackout_benchmark_resume</x:v>
      </x:c>
      <x:c r="R138" s="52" t="n">
        <x:v>46270.01646990741</x:v>
      </x:c>
      <x:c r="S138" s="42" t="str">
        <x:v>The hosted contracts remain green, but the immediate runtime capture still has no visible bezel. This run is not visual proof and cannot close DEF-068.</x:v>
      </x:c>
    </x:row>
    <x:row r="139">
      <x:c r="A139" s="42" t="str">
        <x:v>TR-NATIVE-PICKER-BORDER-CELL-RUNTIME-RED-001</x:v>
      </x:c>
      <x:c r="B139" s="42" t="str">
        <x:v>PRF-023, MEN-005, UX-003</x:v>
      </x:c>
      <x:c r="C139" s="42" t="str">
        <x:v>native picker bordered-cell runtime probe, 2026-09-04</x:v>
      </x:c>
      <x:c r="D139" s="42" t="str">
        <x:v>Focused light development app at 620 by 300 pixels with Reading selected.</x:v>
      </x:c>
      <x:c r="E139" s="42" t="str">
        <x:v>The replacement popup cell has isBordered set to true and its hosted test suite passes.</x:v>
      </x:c>
      <x:c r="F139" s="42" t="str">
        <x:v>Launch the exact bordered-cell build and inspect the focused picker surface.</x:v>
      </x:c>
      <x:c r="G139" s="42" t="str">
        <x:v>A visible native control surface surrounds the Reading swatch, title, and arrows.</x:v>
      </x:c>
      <x:c r="H139" s="42" t="str">
        <x:v>Reading, its swatch, and the arrows render, but the control surface is still absent. The screenshot is byte-identical to the accepted pre-border red capture.</x:v>
      </x:c>
      <x:c r="I139" s="42" t="str">
        <x:v>Not run</x:v>
      </x:c>
      <x:c r="J139" s="42" t="str">
        <x:v>Fail</x:v>
      </x:c>
      <x:c r="K139" s="42" t="str">
        <x:v>Not run</x:v>
      </x:c>
      <x:c r="L139" s="42" t="str">
        <x:v>Not run</x:v>
      </x:c>
      <x:c r="M139" s="42" t="str"/>
      <x:c r="N139" s="42" t="str">
        <x:v>artifacts/ui/sidebar-free/picker-native-bordered-reading-light-focused.png</x:v>
      </x:c>
      <x:c r="O139" s="42" t="str"/>
      <x:c r="P139" s="42" t="str">
        <x:v>DEF-068</x:v>
      </x:c>
      <x:c r="Q139" s="42" t="str">
        <x:v>root and blackout_benchmark_resume</x:v>
      </x:c>
      <x:c r="R139" s="52" t="n">
        <x:v>46270.01721064815</x:v>
      </x:c>
      <x:c r="S139" s="42" t="str">
        <x:v>This runtime failure rejects a tests-only pass. The next correction moves visible surface ownership to the native toolbar shared background.</x:v>
      </x:c>
    </x:row>
    <x:row r="140">
      <x:c r="A140" s="42" t="str">
        <x:v>TR-NATIVE-PICKER-SHARED-GLASS-PARTIAL-001</x:v>
      </x:c>
      <x:c r="B140" s="42" t="str">
        <x:v>PRF-003, PRF-004, PRF-009, PRF-023, PRF-029, MEN-005, UX-001, UX-003</x:v>
      </x:c>
      <x:c r="C140" s="42" t="str">
        <x:v>native toolbar shared-glass and fixed-spacing picker, 2026-09-04</x:v>
      </x:c>
      <x:c r="D140" s="42" t="str">
        <x:v>Focused signed development app in light and dark appearance at 620 by 300 and 520 by 300 pixels, with Work and a 32-CJK-grapheme profile.</x:v>
      </x:c>
      <x:c r="E140" s="42" t="str">
        <x:v>The toolbar explicitly shows its shared background, the inner 12 point trailing padding is removed, and a native fixed ToolbarSpacer controls the trailing inset.</x:v>
      </x:c>
      <x:c r="F140" s="42" t="str">
        <x:v>Build the signed app, inspect Work in light and dark at default and minimum widths, inspect the 32-CJK name in dark at both widths, verify the continuous titlebar, and independently measure picker and Edit Dock right edges at 620 pixels.</x:v>
      </x:c>
      <x:c r="G140" s="42" t="str">
        <x:v>The picker has native glass, full swatch and title, paired arrows, no titlebar divider, complete wide-name wrapping, and the same right edge as Edit Dock.</x:v>
      </x:c>
      <x:c r="H140" s="42" t="str">
        <x:v>Native glass, swatch, title, arrows, continuous titlebar, 20 by 40 Regular paint, adaptive control stacking, and full wide-name wrapping all render in the tested states. The picker outer edge is about x604 plus or minus 2 while Edit Dock is about x600 plus or minus 1, leaving roughly 4 pixels of common-edge mismatch.</x:v>
      </x:c>
      <x:c r="I140" s="42" t="str">
        <x:v>Not run</x:v>
      </x:c>
      <x:c r="J140" s="42" t="str">
        <x:v>Fail</x:v>
      </x:c>
      <x:c r="K140" s="42" t="str">
        <x:v>Not run</x:v>
      </x:c>
      <x:c r="L140" s="42" t="str">
        <x:v>Not run</x:v>
      </x:c>
      <x:c r="M140" s="42" t="str">
        <x:v>artifacts/ui/sidebar-free/picker-native-bordered-reading-light-focused.png</x:v>
      </x:c>
      <x:c r="N140" s="42" t="str">
        <x:v>artifacts/ui/sidebar-free/picker-native-fixed-space-wide-dark-minimum.png</x:v>
      </x:c>
      <x:c r="O140" s="42" t="str"/>
      <x:c r="P140" s="42" t="str">
        <x:v>DEF-068</x:v>
      </x:c>
      <x:c r="Q140" s="42" t="str">
        <x:v>root and blackout_benchmark_resume</x:v>
      </x:c>
      <x:c r="R140" s="52" t="n">
        <x:v>46270.02112268518</x:v>
      </x:c>
      <x:c r="S140" s="42" t="str">
        <x:v>This is a bounded partial pass with an overall visual Fail because exact right-edge alignment remains wrong. The first build command used the nonexistent lowercase scheme and exited 65; the corrected Dockit scheme built successfully. An initial dark screen-capture request also failed, then its retry succeeded. Both are tool errors, not app defects.</x:v>
      </x:c>
    </x:row>
    <x:row r="141">
      <x:c r="A141" s="42" t="str">
        <x:v>TR-NATIVE-PICKER-FINAL-LAYOUT-HOSTED-GREEN-001</x:v>
      </x:c>
      <x:c r="B141" s="42" t="str">
        <x:v>PRF-003, PRF-004, PRF-009, PRF-023, PRF-029, MEN-002, MEN-005, UX-001, UX-003</x:v>
      </x:c>
      <x:c r="C141" s="42" t="str">
        <x:v>native picker final bounded layout hosted regression, 2026-09-04</x:v>
      </x:c>
      <x:c r="D141" s="42" t="str">
        <x:v>macOS 26.4.1 arm64 hosted process with isolated fixtures, disconnected native menus, and no real Dock mutation.</x:v>
      </x:c>
      <x:c r="E141" s="42" t="str">
        <x:v>The public native picker, toolbar shared background, fixed trailing spacer, complete-name measurement, and current model contracts are integrated.</x:v>
      </x:c>
      <x:c r="F141" s="42" t="str">
        <x:v>Run the complete DockitAppTests target after the final bounded layout changes and parse the retained result bundle summary.</x:v>
      </x:c>
      <x:c r="G141" s="42" t="str">
        <x:v>All declared and parameterized tests pass without failures or skips.</x:v>
      </x:c>
      <x:c r="H141" s="42" t="str">
        <x:v>The result passed 41 declared tests and 44 concrete executions with zero failures and zero skips.</x:v>
      </x:c>
      <x:c r="I141" s="42" t="str">
        <x:v>Pass</x:v>
      </x:c>
      <x:c r="J141" s="42" t="str">
        <x:v>Not run</x:v>
      </x:c>
      <x:c r="K141" s="42" t="str">
        <x:v>Not run</x:v>
      </x:c>
      <x:c r="L141" s="42" t="str">
        <x:v>Not run</x:v>
      </x:c>
      <x:c r="M141" s="42" t="str"/>
      <x:c r="N141" s="42" t="str">
        <x:v>artifacts/test-results/DockitAppTests-native-picker-final-layout.xcresult</x:v>
      </x:c>
      <x:c r="O141" s="42" t="str"/>
      <x:c r="P141" s="42" t="str">
        <x:v>DEF-068</x:v>
      </x:c>
      <x:c r="Q141" s="42" t="str">
        <x:v>root and blackout_benchmark_resume</x:v>
      </x:c>
      <x:c r="R141" s="52" t="n">
        <x:v>46270.02211805555</x:v>
      </x:c>
      <x:c r="S141" s="42" t="str">
        <x:v>The existing result-staging Icon carriage-return warning remains, but root read the complete summary. No demo process remained after the run. The hosted pass does not close the roughly 4 pixel runtime edge mismatch.</x:v>
      </x:c>
    </x:row>
    <x:row r="142">
      <x:c r="A142" s="42" t="str">
        <x:v>TR-NATIVE-PICKER-COMMON-INSET-HOSTED-GREEN-001</x:v>
      </x:c>
      <x:c r="B142" s="42" t="str">
        <x:v>PRF-003, PRF-004, PRF-009, PRF-023, PRF-029, MEN-002, MEN-005, UX-001, UX-003</x:v>
      </x:c>
      <x:c r="C142" s="42" t="str">
        <x:v>native picker common-inset hosted retest, 2026-09-04</x:v>
      </x:c>
      <x:c r="D142" s="42" t="str">
        <x:v>macOS 26.4.1 arm64 hosted process with isolated fixtures, disconnected native menus, and no real Dock mutation.</x:v>
      </x:c>
      <x:c r="E142" s="42" t="str">
        <x:v>The editor body and the native toolbar picker use the same 16 point horizontal inset. The public native picker and current model contracts are integrated.</x:v>
      </x:c>
      <x:c r="F142" s="42" t="str">
        <x:v>Run the complete DockitAppTests target after the common-inset correction and parse the retained result bundle summary.</x:v>
      </x:c>
      <x:c r="G142" s="42" t="str">
        <x:v>All declared and parameterized tests pass without failures or skips.</x:v>
      </x:c>
      <x:c r="H142" s="42" t="str">
        <x:v>The result passed 41 declared tests and 44 concrete executions with zero failures and zero skips.</x:v>
      </x:c>
      <x:c r="I142" s="42" t="str">
        <x:v>Pass</x:v>
      </x:c>
      <x:c r="J142" s="42" t="str">
        <x:v>Not run</x:v>
      </x:c>
      <x:c r="K142" s="42" t="str">
        <x:v>Not run</x:v>
      </x:c>
      <x:c r="L142" s="42" t="str">
        <x:v>Not run</x:v>
      </x:c>
      <x:c r="M142" s="42" t="str"/>
      <x:c r="N142" s="42" t="str">
        <x:v>artifacts/test-results/DockitAppTests-native-picker-inset-retest.xcresult</x:v>
      </x:c>
      <x:c r="O142" s="42" t="str"/>
      <x:c r="P142" s="42" t="str">
        <x:v>DEF-068</x:v>
      </x:c>
      <x:c r="Q142" s="42" t="str">
        <x:v>root and blackout_benchmark_resume</x:v>
      </x:c>
      <x:c r="R142" s="52" t="n">
        <x:v>46270.0265162037</x:v>
      </x:c>
      <x:c r="S142" s="42" t="str">
        <x:v>Root parsed the retained result bundle and confirmed 41 declared tests, 44 concrete executions, zero failures, and zero skips. The existing result-staging Icon carriage-return warning remains, but the summary is readable. This hosted run is not visual proof.</x:v>
      </x:c>
    </x:row>
    <x:row r="143">
      <x:c r="A143" s="42" t="str">
        <x:v>TR-NATIVE-PICKER-COMMON-INSET-RUNTIME-GREEN-001</x:v>
      </x:c>
      <x:c r="B143" s="42" t="str">
        <x:v>PRF-003, PRF-004, PRF-009, PRF-023, PRF-029, MEN-005, UX-001, UX-003</x:v>
      </x:c>
      <x:c r="C143" s="42" t="str">
        <x:v>native picker common-inset runtime retest, 2026-09-04</x:v>
      </x:c>
      <x:c r="D143" s="42" t="str">
        <x:v>Focused isolated development app in light and dark appearance at 620 by 300 and 520 by 300 pixels. No real Dock mutation.</x:v>
      </x:c>
      <x:c r="E143" s="42" t="str">
        <x:v>The editor body horizontal padding is 16 points, matching the native toolbar picker's inset. Work is selected and the regular spacer fixture is present.</x:v>
      </x:c>
      <x:c r="F143" s="42" t="str">
        <x:v>Inspect light and dark captures at default and minimum widths. Measure the picker and Edit Dock right edges independently while excluding control shadows. Compare the common inset with original reference frame 0.</x:v>
      </x:c>
      <x:c r="G143" s="42" t="str">
        <x:v>The picker and Edit Dock share a 16 point right inset at both widths. Native glass, swatch, paired arrows, full labels, narrow Regular spacer paint, and continuous titlebar remain intact.</x:v>
      </x:c>
      <x:c r="H143" s="42" t="str">
        <x:v>The picker and Edit Dock right edges both measure x604 plus or minus 1 at 620 pixels and x504 plus or minus 1 at 520 pixels. All four captures retain native glass, swatch, paired arrows, complete labels, 20 by 40 Regular spacer paint, and no titlebar divider. Reference frame 0 has an approximately 17 point common inset at the same normalized width.</x:v>
      </x:c>
      <x:c r="I143" s="42" t="str">
        <x:v>Not run</x:v>
      </x:c>
      <x:c r="J143" s="42" t="str">
        <x:v>Pass</x:v>
      </x:c>
      <x:c r="K143" s="42" t="str">
        <x:v>Not run</x:v>
      </x:c>
      <x:c r="L143" s="42" t="str">
        <x:v>Not run</x:v>
      </x:c>
      <x:c r="M143" s="42" t="str">
        <x:v>artifacts/ui/sidebar-free/picker-native-fixed-space-work-light-default.png</x:v>
      </x:c>
      <x:c r="N143" s="42" t="str">
        <x:v>artifacts/ui/sidebar-free/picker-common-inset-work-light-default.png</x:v>
      </x:c>
      <x:c r="O143" s="42" t="str"/>
      <x:c r="P143" s="42" t="str">
        <x:v>DEF-068</x:v>
      </x:c>
      <x:c r="Q143" s="42" t="str">
        <x:v>root and blackout_benchmark_resume</x:v>
      </x:c>
      <x:c r="R143" s="52" t="n">
        <x:v>46270.0265162037</x:v>
      </x:c>
      <x:c r="S143" s="42" t="str">
        <x:v>The required screenshot question was answered yes for all four captures. This closes only the reproduced static common-edge defect. Full reference parity, picker behavior across every state, motion, VoiceOver, accessibility appearances, and real Dock behavior remain unverified. The isolated demo process was closed after review.</x:v>
      </x:c>
    </x:row>
    <x:row r="144">
      <x:c r="A144" s="42" t="str">
        <x:v>TR-ICON-BACKGROUND-EXTRACTION-REJECTED-003</x:v>
      </x:c>
      <x:c r="B144" s="42" t="str">
        <x:v>UX-002</x:v>
      </x:c>
      <x:c r="C144" s="42" t="str">
        <x:v>third white and pastel icon background-extraction attempt, 2026-09-04</x:v>
      </x:c>
      <x:c r="D144" s="42" t="str">
        <x:v>Built-in image generation background-extraction result with read-only validation and direct original-size inspection. No production asset changed.</x:v>
      </x:c>
      <x:c r="E144" s="42" t="str">
        <x:v>The approved exec-7e3f0b99-c921-41ed-810f-21b74e22236c direction remains selected. Two earlier cleanup outputs had already failed the transparent-corner gate.</x:v>
      </x:c>
      <x:c r="F144" s="42" t="str">
        <x:v>Inspect the new background-extraction result, read its decoded dimensions and alpha property, run the unchanged production-master validator, and retain a byte-preserving evidence copy without installing it.</x:v>
      </x:c>
      <x:c r="G144" s="42" t="str">
        <x:v>The result is a 1024 by 1024 PNG with a real alpha channel, transparent exterior corners, no painted checkerboard, and unchanged approved artwork inside the white icon base.</x:v>
      </x:c>
      <x:c r="H144" s="42" t="str">
        <x:v>The result is 1254 by 1254 pixels, has no alpha channel, and still shows a painted checkerboard. The unchanged validator exited 65. The result was rejected and no production master or asset catalog changed.</x:v>
      </x:c>
      <x:c r="I144" s="42" t="str">
        <x:v>Fail</x:v>
      </x:c>
      <x:c r="J144" s="42" t="str">
        <x:v>Fail</x:v>
      </x:c>
      <x:c r="K144" s="42" t="str">
        <x:v>Not applicable</x:v>
      </x:c>
      <x:c r="L144" s="42" t="str">
        <x:v>Not run</x:v>
      </x:c>
      <x:c r="M144" s="42" t="str"/>
      <x:c r="N144" s="42" t="str">
        <x:v>artifacts/ui/icon-review/white-pastel-alpha-revision-rejected.png</x:v>
      </x:c>
      <x:c r="O144" s="42" t="str"/>
      <x:c r="P144" s="42" t="str">
        <x:v>DEF-050</x:v>
      </x:c>
      <x:c r="Q144" s="42" t="str">
        <x:v>root and blackout_benchmark_resume</x:v>
      </x:c>
      <x:c r="R144" s="52" t="n">
        <x:v>46270.03633101852</x:v>
      </x:c>
      <x:c r="S144" s="42" t="str">
        <x:v>This is the third rejected cleanup output, not an imagegen success or an approved production asset. The user was asked whether a deterministic exterior-only mask is acceptable. No mask has been performed and the question does not block independent QA.</x:v>
      </x:c>
    </x:row>
    <x:row r="145">
      <x:c r="A145" s="42" t="str">
        <x:v>TR-PREVIEW-RANGE-SELECTION-LIGHT-GREEN-001</x:v>
      </x:c>
      <x:c r="B145" s="42" t="str">
        <x:v>PRF-022, PRF-033, MEN-004</x:v>
      </x:c>
      <x:c r="C145" s="42" t="str">
        <x:v>native preview range-selection light retest, 2026-09-04</x:v>
      </x:c>
      <x:c r="D145" s="42" t="str">
        <x:v>Focused isolated light demo at 520 by 300 pixels. No real Dock mutation.</x:v>
      </x:c>
      <x:c r="E145" s="42" t="str">
        <x:v>The selected Work fixture contains Mail, Calendar, a Regular spacer, and Notes in that order.</x:v>
      </x:c>
      <x:c r="F145" s="42" t="str">
        <x:v>Select Calendar, press Shift+Right to include the Regular spacer, press Shift+Right again to include Notes, then press Shift+Left to contract back to Calendar and the spacer. Inspect visible highlights and accessibility selected traits after each step.</x:v>
      </x:c>
      <x:c r="G145" s="42" t="str">
        <x:v>The range grows and contracts in saved order across application and spacer items, and visible highlights agree with accessibility selection state.</x:v>
      </x:c>
      <x:c r="H145" s="42" t="str">
        <x:v>Calendar and the Regular spacer selected together, Notes joined on the second extension, and the range contracted back to Calendar and the spacer. Visible highlights and accessibility selected traits agreed in every captured state.</x:v>
      </x:c>
      <x:c r="I145" s="42" t="str">
        <x:v>Pass</x:v>
      </x:c>
      <x:c r="J145" s="42" t="str">
        <x:v>Pass</x:v>
      </x:c>
      <x:c r="K145" s="42" t="str">
        <x:v>Not applicable</x:v>
      </x:c>
      <x:c r="L145" s="42" t="str">
        <x:v>Pass</x:v>
      </x:c>
      <x:c r="M145" s="42" t="str"/>
      <x:c r="N145" s="42" t="str">
        <x:v>artifacts/ui/sidebar-free/selection-range-contracted-light.png</x:v>
      </x:c>
      <x:c r="O145" s="42" t="str"/>
      <x:c r="P145" s="42" t="str"/>
      <x:c r="Q145" s="42" t="str">
        <x:v>root and blackout_benchmark_resume</x:v>
      </x:c>
      <x:c r="R145" s="52" t="n">
        <x:v>46270.037777777776</x:v>
      </x:c>
      <x:c r="S145" s="42" t="str">
        <x:v>This is a bounded light keyboard-range and accessibility-state pass. Pointer modifiers, disjoint pointer selection, deletion cleanup, profile changes, apply completion, VoiceOver speech, dark regression, and persistence remain open.</x:v>
      </x:c>
    </x:row>
    <x:row r="146">
      <x:c r="A146" s="42" t="str">
        <x:v>TR-PREVIEW-ADJACENT-GROUP-DRAG-LIGHT-INCONCLUSIVE-001</x:v>
      </x:c>
      <x:c r="B146" s="42" t="str">
        <x:v>PRF-020, PRF-034</x:v>
      </x:c>
      <x:c r="C146" s="42" t="str">
        <x:v>native preview adjacent-group pointer-drag attempt, 2026-09-04</x:v>
      </x:c>
      <x:c r="D146" s="42" t="str">
        <x:v>Focused isolated light demo at 520 by 300 pixels under screen-control pointer input. No real Dock mutation.</x:v>
      </x:c>
      <x:c r="E146" s="42" t="str">
        <x:v>Calendar and the adjacent Regular spacer are visibly selected in the Work fixture.</x:v>
      </x:c>
      <x:c r="F146" s="42" t="str">
        <x:v>Drag from Calendar at approximately 222,142 to the right half of Notes at approximately 345,142. Restore a fresh selected state and retry to the shelf end at approximately 376,142. Capture the result after each attempt.</x:v>
      </x:c>
      <x:c r="G146" s="42" t="str">
        <x:v>The selected Calendar and spacer move as one ordered group to the requested drop location without duplication or loss.</x:v>
      </x:c>
      <x:c r="H146" s="42" t="str">
        <x:v>The saved order remained Mail, Calendar, Regular spacer, Notes after both attempts. The two result captures are byte-identical. Current evidence does not establish that screen control initiated a complete native drag session, so it cannot distinguish an app defect from input transport failure.</x:v>
      </x:c>
      <x:c r="I146" s="42" t="str">
        <x:v>Blocked</x:v>
      </x:c>
      <x:c r="J146" s="42" t="str">
        <x:v>Blocked</x:v>
      </x:c>
      <x:c r="K146" s="42" t="str">
        <x:v>Not run</x:v>
      </x:c>
      <x:c r="L146" s="42" t="str">
        <x:v>Not run</x:v>
      </x:c>
      <x:c r="M146" s="42" t="str">
        <x:v>artifacts/ui/sidebar-free/selection-range-calendar-spacer-light.png</x:v>
      </x:c>
      <x:c r="N146" s="42" t="str">
        <x:v>artifacts/ui/sidebar-free/selection-adjacent-group-end-drop-light.png</x:v>
      </x:c>
      <x:c r="O146" s="42" t="str"/>
      <x:c r="P146" s="42" t="str"/>
      <x:c r="Q146" s="42" t="str">
        <x:v>root and blackout_benchmark_resume</x:v>
      </x:c>
      <x:c r="R146" s="52" t="n">
        <x:v>46270.037777777776</x:v>
      </x:c>
      <x:c r="S146" s="42" t="str">
        <x:v>No product defect is opened from this attempt because native drag-session delivery is not proven. Source tracing is in progress. Keyboard group movement remains separately green.</x:v>
      </x:c>
    </x:row>
    <x:row r="147">
      <x:c r="A147" s="42" t="str">
        <x:v>TR-PREVIEW-DISJOINT-BOUNDARY-MENU-MISMATCH-RED-001</x:v>
      </x:c>
      <x:c r="B147" s="42" t="str">
        <x:v>PRF-020, PRF-033, PRF-034, MEN-004</x:v>
      </x:c>
      <x:c r="C147" s="42" t="str">
        <x:v>native preview disjoint boundary movement light retest, 2026-09-04</x:v>
      </x:c>
      <x:c r="D147" s="42" t="str">
        <x:v>Focused isolated light demo at 520 by 300 pixels with accessibility and native Edit menu inspection. No real Dock mutation.</x:v>
      </x:c>
      <x:c r="E147" s="42" t="str">
        <x:v>Work contains Mail, Calendar, a Regular spacer, and Notes. Mail and the disjoint Regular spacer are selected with matching visible and accessibility state.</x:v>
      </x:c>
      <x:c r="F147" s="42" t="str">
        <x:v>Open the native Edit menu and inspect Move Selected Earlier. Close the menu and invoke Command+Option+Left. Compare saved item order, retained selection, saved status, and active profile state.</x:v>
      </x:c>
      <x:c r="G147" s="42" t="str">
        <x:v>Move Selected Earlier is enabled whenever the existing domain movement produces a changed layout. The menu action and keyboard shortcut use the same eligibility result.</x:v>
      </x:c>
      <x:c r="H147" s="42" t="str">
        <x:v>The Edit menu reported Move Selected Earlier as disabled. The keyboard shortcut moved the spacer before Calendar, producing Mail, Regular spacer, Calendar, Notes. Mail and the spacer stayed selected, saved-not-applied appeared, and active Work remained unchanged.</x:v>
      </x:c>
      <x:c r="I147" s="42" t="str">
        <x:v>Fail</x:v>
      </x:c>
      <x:c r="J147" s="42" t="str">
        <x:v>Pass</x:v>
      </x:c>
      <x:c r="K147" s="42" t="str">
        <x:v>Not applicable</x:v>
      </x:c>
      <x:c r="L147" s="42" t="str">
        <x:v>Fail</x:v>
      </x:c>
      <x:c r="M147" s="42" t="str"/>
      <x:c r="N147" s="42" t="str">
        <x:v>artifacts/ui/sidebar-free/selection-boundary-keyboard-menu-mismatch-light.png</x:v>
      </x:c>
      <x:c r="O147" s="42" t="str"/>
      <x:c r="P147" s="42" t="str">
        <x:v>DEF-075</x:v>
      </x:c>
      <x:c r="Q147" s="42" t="str">
        <x:v>root and blackout_benchmark_resume</x:v>
      </x:c>
      <x:c r="R147" s="52" t="n">
        <x:v>46270.0403125</x:v>
      </x:c>
      <x:c r="S147" s="42" t="str">
        <x:v>Disjoint selection, keyboard group movement, retained selection, and saved-without-applying behavior pass. The run fails because menu and equivalent detail-action enablement disagrees with the working domain movement.</x:v>
      </x:c>
    </x:row>
    <x:row r="148">
      <x:c r="A148" s="42" t="str">
        <x:v>TR-PREVIEW-SINGLE-ITEM-DRAG-LIGHT-INCONCLUSIVE-001</x:v>
      </x:c>
      <x:c r="B148" s="42" t="str">
        <x:v>PRF-020</x:v>
      </x:c>
      <x:c r="C148" s="42" t="str">
        <x:v>native preview single-item pointer-drag attempt, 2026-09-04</x:v>
      </x:c>
      <x:c r="D148" s="42" t="str">
        <x:v>Focused isolated light demo at 520 by 300 pixels under screen-control pointer input. No real Dock mutation.</x:v>
      </x:c>
      <x:c r="E148" s="42" t="str">
        <x:v>Notes is the single selected item in the Work preview.</x:v>
      </x:c>
      <x:c r="F148" s="42" t="str">
        <x:v>Attempt to drag Notes to a new preview position, then compare visible order before and after.</x:v>
      </x:c>
      <x:c r="G148" s="42" t="str">
        <x:v>Notes moves to the requested valid drop position without duplication or loss.</x:v>
      </x:c>
      <x:c r="H148" s="42" t="str">
        <x:v>The visible order did not change. Current evidence does not establish that screen control initiated a complete native drag session, so the attempt cannot distinguish an app defect from input transport failure.</x:v>
      </x:c>
      <x:c r="I148" s="42" t="str">
        <x:v>Blocked</x:v>
      </x:c>
      <x:c r="J148" s="42" t="str">
        <x:v>Blocked</x:v>
      </x:c>
      <x:c r="K148" s="42" t="str">
        <x:v>Not run</x:v>
      </x:c>
      <x:c r="L148" s="42" t="str">
        <x:v>Not run</x:v>
      </x:c>
      <x:c r="M148" s="42" t="str">
        <x:v>artifacts/ui/sidebar-free/selection-single-notes-before-drag-light.png</x:v>
      </x:c>
      <x:c r="N148" s="42" t="str">
        <x:v>artifacts/ui/sidebar-free/selection-single-notes-after-drag-light.png</x:v>
      </x:c>
      <x:c r="O148" s="42" t="str"/>
      <x:c r="P148" s="42" t="str"/>
      <x:c r="Q148" s="42" t="str">
        <x:v>root and blackout_benchmark_resume</x:v>
      </x:c>
      <x:c r="R148" s="52" t="n">
        <x:v>46270.0403125</x:v>
      </x:c>
      <x:c r="S148" s="42" t="str">
        <x:v>No new product defect is opened from this attempt. It remains grouped with the separate adjacent-group pointer transport investigation.</x:v>
      </x:c>
    </x:row>
    <x:row r="149">
      <x:c r="A149" s="42" t="str">
        <x:v>TR-REFERENCE-FRAMES-000030-000070-001</x:v>
      </x:c>
      <x:c r="B149" s="42" t="str">
        <x:v>PRF-020, PRF-023, PRF-028, MEN-005, UX-003, MOT-005</x:v>
      </x:c>
      <x:c r="C149" s="42" t="str">
        <x:v>formal reference coverage merge through 112 reviewed frames, 2026-09-04</x:v>
      </x:c>
      <x:c r="D149" s="42" t="str">
        <x:v>Original 2160 by 2160 source frames at their original presentation timestamps, canonical annotations, strict coverage gate, and the ReferenceVideo tool test suite.</x:v>
      </x:c>
      <x:c r="E149" s="42" t="str">
        <x:v>Frames 30 through 70 were individually inspected in original detail. Root read the complete bounded report and accepted it before merging the records. No equivalent dockit drag recording exists for this interval.</x:v>
      </x:c>
      <x:c r="F149" s="42" t="str">
        <x:v>Merge frames 30 through 70 into annotations.json, regenerate strict coverage, validate source identity and every evidence path and timestamp, then rerun all ReferenceVideo tool tests.</x:v>
      </x:c>
      <x:c r="G149" s="42" t="str">
        <x:v>Formal coverage reaches 112 of 2,374 with 2,262 unreviewed. The 41 newly merged frames remain notComparable, incomplete coverage exits nonzero, and all six tool tests pass.</x:v>
      </x:c>
      <x:c r="H149" s="42" t="str">
        <x:v>Coverage is 112 reviewed and 2,262 unreviewed. Outcomes are 30 difference and 82 notComparable. The strict gate remains incomplete, and all six ReferenceVideo tests pass. No matched implementation recording or motion comparison is claimed for frames 30 through 70.</x:v>
      </x:c>
      <x:c r="I149" s="42" t="str">
        <x:v>Pass</x:v>
      </x:c>
      <x:c r="J149" s="42" t="str">
        <x:v>Not run</x:v>
      </x:c>
      <x:c r="K149" s="42" t="str">
        <x:v>Not run</x:v>
      </x:c>
      <x:c r="L149" s="42" t="str">
        <x:v>Not applicable</x:v>
      </x:c>
      <x:c r="M149" s="42" t="str">
        <x:v>artifacts/video-reference/frames/frame-000030.png</x:v>
      </x:c>
      <x:c r="N149" s="42" t="str">
        <x:v>artifacts/video-reference/frames/frame-000070.png</x:v>
      </x:c>
      <x:c r="O149" s="42" t="str">
        <x:v>benja_-_here_s_a_quick_video_on_how_works_made_it_for_myself_turns_out_many_cgVZUA.mp4</x:v>
      </x:c>
      <x:c r="P149" s="42" t="str"/>
      <x:c r="Q149" s="42" t="str">
        <x:v>root, reference frame reviewer, and blackout_benchmark_resume</x:v>
      </x:c>
      <x:c r="R149" s="52" t="n">
        <x:v>46270.0403125</x:v>
      </x:c>
      <x:c r="S149" s="42" t="str">
        <x:v>This passes source review and coverage integrity only. The reference shows a held app with neighboring items shifted, while the available current screenshots are static and use different fixtures. Product visual parity, drag timing, drop behavior, and the remaining 2,262 frames stay unverified.</x:v>
      </x:c>
    </x:row>
    <x:row r="150">
      <x:c r="A150" s="42" t="str">
        <x:v>TR-PREVIEW-BOUNDARY-ACTION-ENABLEMENT-GREEN-001</x:v>
      </x:c>
      <x:c r="B150" s="42" t="str">
        <x:v>PRF-020, PRF-033, PRF-034, MEN-004</x:v>
      </x:c>
      <x:c r="C150" s="42" t="str">
        <x:v>native preview boundary-action predicate retest, 2026-09-04</x:v>
      </x:c>
      <x:c r="D150" s="42" t="str">
        <x:v>Focused isolated light demo at the 520 by 300 minimum window with native Edit menu and detail actions. No disk library or real Dock mutation.</x:v>
      </x:c>
      <x:c r="E150" s="42" t="str">
        <x:v>The earlier and later action predicates compare the existing DockItemEditing.moving result with the saved items instead of inspecting only the first or last selected index.</x:v>
      </x:c>
      <x:c r="F150" s="42" t="str">
        <x:v>Build the app, run the complete core suite, repeat the disjoint earlier boundary case through the native menu, verify the adjacent start boundary disables earlier, repeat the symmetric later case through details with the final item selected, then select all and inspect both menu and detail movement actions.</x:v>
      </x:c>
      <x:c r="G150" s="42" t="str">
        <x:v>Menu and detail actions are enabled exactly when the domain movement changes the layout. Disjoint groups retain relative order and selection, no-op boundaries stay disabled, saved edits do not change active state, and no item is lost or duplicated.</x:v>
      </x:c>
      <x:c r="H150" s="42" t="str">
        <x:v>The build succeeded. All 76 Swift Testing cases and 11 XCTest cases passed. Mail plus the disjoint Regular spacer moved earlier through the enabled menu. Mail plus Notes moved later through the enabled detail action while keeping relative order. The adjacent start boundary disabled earlier, and selecting all disabled both directions in both surfaces. Selection remained, all four entries survived, saved-not-applied appeared, and current Work did not change.</x:v>
      </x:c>
      <x:c r="I150" s="42" t="str">
        <x:v>Pass</x:v>
      </x:c>
      <x:c r="J150" s="42" t="str">
        <x:v>Pass</x:v>
      </x:c>
      <x:c r="K150" s="42" t="str">
        <x:v>Not applicable</x:v>
      </x:c>
      <x:c r="L150" s="42" t="str">
        <x:v>Pass</x:v>
      </x:c>
      <x:c r="M150" s="42" t="str">
        <x:v>artifacts/ui/sidebar-free/selection-boundary-keyboard-menu-mismatch-light.png</x:v>
      </x:c>
      <x:c r="N150" s="42" t="str">
        <x:v>artifacts/ui/sidebar-free/selection-boundary-all-selected-light.png</x:v>
      </x:c>
      <x:c r="O150" s="42" t="str"/>
      <x:c r="P150" s="42" t="str">
        <x:v>DEF-075</x:v>
      </x:c>
      <x:c r="Q150" s="42" t="str">
        <x:v>root and blackout_benchmark_resume</x:v>
      </x:c>
      <x:c r="R150" s="52" t="n">
        <x:v>46270.04672453704</x:v>
      </x:c>
      <x:c r="S150" s="42" t="str">
        <x:v>This closes the bounded menu and detail-action predicate mismatch. Captures show inactive native window chrome. Demo data is in memory, so disk persistence and the real Dock are outside scope. Dark appearance, motion, pointer drag, VoiceOver speech, and full regression remain open. The demo app was closed after the retest.</x:v>
      </x:c>
    </x:row>
    <x:row r="151">
      <x:c r="A151" s="42" t="str">
        <x:v>TR-PREVIEW-CONTINUOUS-REFLOW-SOURCE-RED-001</x:v>
      </x:c>
      <x:c r="B151" s="42" t="str">
        <x:v>PRF-020, PRF-028, PRF-034, MEN-005, MOT-005</x:v>
      </x:c>
      <x:c r="C151" s="42" t="str">
        <x:v>current preview source and reference frames 44 through 70, 2026-09-04</x:v>
      </x:c>
      <x:c r="D151" s="42" t="str">
        <x:v>Read-only source inspection plus original 2160 by 2160 reference frames at their original presentation timestamps. No app action or real Dock mutation.</x:v>
      </x:c>
      <x:c r="E151" s="42" t="str">
        <x:v>Frames 30 through 70 are formally reviewed. The reference shows an item held while neighboring items shift before drop. Pointer delivery in the current screen-control session remains unproven and is not used to diagnose this gap.</x:v>
      </x:c>
      <x:c r="F151" s="42" t="str">
        <x:v>Trace how DockPreviewView chooses displayed items, how item drop targeting changes visible state, and when moveItems is called. Compare those source paths with original reference frames 44 through 70.</x:v>
      </x:c>
      <x:c r="G151" s="42" t="str">
        <x:v>While a valid item or selected group is held over the preview, neighboring items visibly make room at the prospective insertion point without committing the saved order until drop acceptance.</x:v>
      </x:c>
      <x:c r="H151" s="42" t="str">
        <x:v>DockPreviewView renders profile.items directly. The isTargeted callback only toggles an outline, and moveItems runs only from acceptDrop. There is no transient proposed order or neighbor displacement before drop, while reference frames 44 through 70 show neighboring items shifted during the held state.</x:v>
      </x:c>
      <x:c r="I151" s="42" t="str">
        <x:v>Not run</x:v>
      </x:c>
      <x:c r="J151" s="42" t="str">
        <x:v>Fail</x:v>
      </x:c>
      <x:c r="K151" s="42" t="str">
        <x:v>Fail</x:v>
      </x:c>
      <x:c r="L151" s="42" t="str">
        <x:v>Not run</x:v>
      </x:c>
      <x:c r="M151" s="42" t="str">
        <x:v>artifacts/video-reference/frames/frame-000044.png</x:v>
      </x:c>
      <x:c r="N151" s="42" t="str"/>
      <x:c r="O151" s="42" t="str">
        <x:v>benja_-_here_s_a_quick_video_on_how_works_made_it_for_myself_turns_out_many_cgVZUA.mp4</x:v>
      </x:c>
      <x:c r="P151" s="42" t="str">
        <x:v>DEF-076</x:v>
      </x:c>
      <x:c r="Q151" s="42" t="str">
        <x:v>root and blackout_benchmark_resume</x:v>
      </x:c>
      <x:c r="R151" s="52" t="n">
        <x:v>46270.04813657407</x:v>
      </x:c>
      <x:c r="S151" s="42" t="str">
        <x:v>This source-supported parity gap is independent of whether the earlier screen-control gestures started native drags. Drag-delivery tracing is a separate diagnostic. No continuous-reflow implementation is underway, and no current motion recording exists.</x:v>
      </x:c>
    </x:row>
    <x:row r="152">
      <x:c r="A152" s="42" t="str">
        <x:v>TR-NATIVE-DRAG-DIAGNOSTIC-COMPILE-RED-001</x:v>
      </x:c>
      <x:c r="B152" s="42" t="str">
        <x:v>PRF-020, PRF-034, MOT-005</x:v>
      </x:c>
      <x:c r="C152" s="42" t="str">
        <x:v>temporary gated native drag diagnostic build, 2026-09-04</x:v>
      </x:c>
      <x:c r="D152" s="42" t="str">
        <x:v>Swift 6 debug build with temporary gated drag callback logging. No app runtime or real Dock mutation.</x:v>
      </x:c>
      <x:c r="E152" s="42" t="str">
        <x:v>Debug-only logs were added at drag provider, target, drop acceptance, and mutation boundaries without changing user-visible drag behavior.</x:v>
      </x:c>
      <x:c r="F152" s="42" t="str">
        <x:v>Build the diagnostic app before using it to distinguish screen-control transport from dockit drag callbacks.</x:v>
      </x:c>
      <x:c r="G152" s="42" t="str">
        <x:v>The gated diagnostic source compiles without changing release behavior, so callback evidence can be collected.</x:v>
      </x:c>
      <x:c r="H152" s="42" t="str">
        <x:v>The build exited 65 before runtime. ProfileDetailView.swift line 12 reported that Logger interpolation captured the non-escaping message autoclosure in an escaping context.</x:v>
      </x:c>
      <x:c r="I152" s="42" t="str">
        <x:v>Blocked</x:v>
      </x:c>
      <x:c r="J152" s="42" t="str">
        <x:v>Not run</x:v>
      </x:c>
      <x:c r="K152" s="42" t="str">
        <x:v>Not run</x:v>
      </x:c>
      <x:c r="L152" s="42" t="str">
        <x:v>Not run</x:v>
      </x:c>
      <x:c r="M152" s="42" t="str"/>
      <x:c r="N152" s="42" t="str"/>
      <x:c r="O152" s="42" t="str"/>
      <x:c r="P152" s="42" t="str">
        <x:v>DEF-077</x:v>
      </x:c>
      <x:c r="Q152" s="42" t="str">
        <x:v>root and blackout_benchmark_resume</x:v>
      </x:c>
      <x:c r="R152" s="52" t="n">
        <x:v>46270.04813657407</x:v>
      </x:c>
      <x:c r="S152" s="42" t="str">
        <x:v>This is a debug instrumentation compile failure, not evidence that production pointer drag is broken. No runtime diagnosis or behavior claim follows from it.</x:v>
      </x:c>
    </x:row>
    <x:row r="153">
      <x:c r="A153" s="42" t="str">
        <x:v>TR-NATIVE-DRAG-DIAGNOSTIC-COMPILE-GREEN-001</x:v>
      </x:c>
      <x:c r="B153" s="42" t="str">
        <x:v>PRF-020, PRF-034, MOT-005</x:v>
      </x:c>
      <x:c r="C153" s="42" t="str">
        <x:v>repaired temporary gated native drag diagnostic, 2026-09-04</x:v>
      </x:c>
      <x:c r="D153" s="42" t="str">
        <x:v>Swift 6 signed debug build with temporary drag callback logging gated to demo diagnostics. No real Dock mutation.</x:v>
      </x:c>
      <x:c r="E153" s="42" t="str">
        <x:v>The logger evaluates the gated autoclosure into a local String before Logger interpolation.</x:v>
      </x:c>
      <x:c r="F153" s="42" t="str">
        <x:v>Review the instrumentation-only repair and rebuild the diagnostic app before runtime tracing.</x:v>
      </x:c>
      <x:c r="G153" s="42" t="str">
        <x:v>The gated diagnostic compiles and signs without changing release drag behavior.</x:v>
      </x:c>
      <x:c r="H153" s="42" t="str">
        <x:v>Root reviewed the repair, and the signed debug build succeeded.</x:v>
      </x:c>
      <x:c r="I153" s="42" t="str">
        <x:v>Pass</x:v>
      </x:c>
      <x:c r="J153" s="42" t="str">
        <x:v>Not applicable</x:v>
      </x:c>
      <x:c r="K153" s="42" t="str">
        <x:v>Not applicable</x:v>
      </x:c>
      <x:c r="L153" s="42" t="str">
        <x:v>Not applicable</x:v>
      </x:c>
      <x:c r="M153" s="42" t="str"/>
      <x:c r="N153" s="42" t="str"/>
      <x:c r="O153" s="42" t="str"/>
      <x:c r="P153" s="42" t="str">
        <x:v>DEF-077</x:v>
      </x:c>
      <x:c r="Q153" s="42" t="str">
        <x:v>root and blackout_benchmark_resume</x:v>
      </x:c>
      <x:c r="R153" s="52" t="n">
        <x:v>46270.05144675926</x:v>
      </x:c>
      <x:c r="S153" s="42" t="str">
        <x:v>This verifies diagnostic compilation only. It does not prove pointer drag delivery or product behavior. Temporary tracing remains slated for removal after diagnosis.</x:v>
      </x:c>
    </x:row>
    <x:row r="154">
      <x:c r="A154" s="42" t="str">
        <x:v>TR-NATIVE-DRAG-CALLBACK-TRACE-001</x:v>
      </x:c>
      <x:c r="B154" s="42" t="str">
        <x:v>PRF-020, PRF-034, MOT-005</x:v>
      </x:c>
      <x:c r="C154" s="42" t="str">
        <x:v>temporary gated native drag callback trace, 2026-09-04</x:v>
      </x:c>
      <x:c r="D154" s="42" t="str">
        <x:v>Dark minimum-width isolated demo under screen-control pointer input with debug-only unified logging. No real Dock mutation.</x:v>
      </x:c>
      <x:c r="E154" s="42" t="str">
        <x:v>The repaired trace logs provider, target, accept, and mutation callback boundaries. One app item is selected.</x:v>
      </x:c>
      <x:c r="F154" s="42" t="str">
        <x:v>Attempt the native drag, capture DragTrace events, verify visible order, focus the active window, and repeat.</x:v>
      </x:c>
      <x:c r="G154" s="42" t="str">
        <x:v>The trace identifies the last callback reached so the next diagnostic can separate provider creation, target delivery, acceptance, and mutation.</x:v>
      </x:c>
      <x:c r="H154" s="42" t="str">
        <x:v>The first attempt logged provider enter and provider ready at 20:11:21 with one item and public UTF-8 plain-text plus URL types. No target or accept event followed and order stayed unchanged. The active-window repeat produced no second provider event.</x:v>
      </x:c>
      <x:c r="I154" s="42" t="str">
        <x:v>Blocked</x:v>
      </x:c>
      <x:c r="J154" s="42" t="str">
        <x:v>Not run</x:v>
      </x:c>
      <x:c r="K154" s="42" t="str">
        <x:v>Not run</x:v>
      </x:c>
      <x:c r="L154" s="42" t="str">
        <x:v>Not run</x:v>
      </x:c>
      <x:c r="M154" s="42" t="str"/>
      <x:c r="N154" s="42" t="str"/>
      <x:c r="O154" s="42" t="str"/>
      <x:c r="P154" s="42" t="str"/>
      <x:c r="Q154" s="42" t="str">
        <x:v>root and blackout_benchmark_resume</x:v>
      </x:c>
      <x:c r="R154" s="52" t="n">
        <x:v>46270.05144675926</x:v>
      </x:c>
      <x:c r="S154" s="42" t="str">
        <x:v>This narrows the first attempt to a valid provider followed by no observed target or accept callback. It does not establish whether dockit, SwiftUI, or screen-control transport prevented later callbacks. A minimal same-provider and same-drop control probe is the next bounded diagnostic.</x:v>
      </x:c>
    </x:row>
    <x:row r="155">
      <x:c r="A155" s="42" t="str">
        <x:v>TR-REFERENCE-FRAMES-000071-000090-001</x:v>
      </x:c>
      <x:c r="B155" s="42" t="str">
        <x:v>PRF-020, PRF-023, PRF-028, MEN-005, UX-003, MOT-005</x:v>
      </x:c>
      <x:c r="C155" s="42" t="str">
        <x:v>formal reference coverage merge through 132 reviewed frames, 2026-09-04</x:v>
      </x:c>
      <x:c r="D155" s="42" t="str">
        <x:v>Original 2160 by 2160 source frames at their original presentation timestamps, canonical annotations, strict coverage gate, and ReferenceVideo tool tests.</x:v>
      </x:c>
      <x:c r="E155" s="42" t="str">
        <x:v>Frames 71 through 90 were individually inspected in original detail. Root read the complete report and directly inspected representative original frames before merging. No equivalent dockit drag-and-settle recording exists.</x:v>
      </x:c>
      <x:c r="F155" s="42" t="str">
        <x:v>Merge frames 71 through 90 into annotations.json, regenerate strict coverage, validate source identity and every evidence path and timestamp, retain the nonzero incomplete result, and rerun all six ReferenceVideo tests.</x:v>
      </x:c>
      <x:c r="G155" s="42" t="str">
        <x:v>Formal coverage reaches 132 of 2,374 with 2,242 unreviewed. All 20 newly merged frames remain notComparable, the incomplete gate exits 1, and all six tool tests pass.</x:v>
      </x:c>
      <x:c r="H155" s="42" t="str">
        <x:v>Coverage is 132 reviewed and 2,242 unreviewed. Outcomes are 30 difference and 102 notComparable. The strict incomplete gate exits 1 as expected, and all six ReferenceVideo tests pass. The reference settles the blue app before Calendar, retains the spacer after Calendar, and shows Save Changes by frame 72 and Unsaved by frame 78.</x:v>
      </x:c>
      <x:c r="I155" s="42" t="str">
        <x:v>Pass</x:v>
      </x:c>
      <x:c r="J155" s="42" t="str">
        <x:v>Not run</x:v>
      </x:c>
      <x:c r="K155" s="42" t="str">
        <x:v>Not run</x:v>
      </x:c>
      <x:c r="L155" s="42" t="str">
        <x:v>Not applicable</x:v>
      </x:c>
      <x:c r="M155" s="42" t="str">
        <x:v>artifacts/video-reference/frames/frame-000071.png</x:v>
      </x:c>
      <x:c r="N155" s="42" t="str">
        <x:v>artifacts/video-reference/frames/frame-000090.png</x:v>
      </x:c>
      <x:c r="O155" s="42" t="str">
        <x:v>benja_-_here_s_a_quick_video_on_how_works_made_it_for_myself_turns_out_many_cgVZUA.mp4</x:v>
      </x:c>
      <x:c r="P155" s="42" t="str"/>
      <x:c r="Q155" s="42" t="str">
        <x:v>root, reference_drag_end, and blackout_benchmark_resume</x:v>
      </x:c>
      <x:c r="R155" s="52" t="n">
        <x:v>46270.05144675926</x:v>
      </x:c>
      <x:c r="S155" s="42" t="str">
        <x:v>This passes source review and coverage integrity only. Static current screenshots cannot verify the equivalent drag, settle timing, autosave, or real Dock activation. The reference manual Save Changes treatment is an approved product difference and is not logged as a defect.</x:v>
      </x:c>
    </x:row>
    <x:row r="156">
      <x:c r="A156" s="42" t="str">
        <x:v>TR-NATIVE-DRAG-MINIMAL-CONTROL-PROBE-001</x:v>
      </x:c>
      <x:c r="B156" s="42" t="str">
        <x:v>PRF-020, PRF-034, MOT-005</x:v>
      </x:c>
      <x:c r="C156" s="42" t="str">
        <x:v>temporary minimal native drag control probe, 2026-09-04</x:v>
      </x:c>
      <x:c r="D156" s="42" t="str">
        <x:v>Debug-only isolated demo page with a plain Text drag source and plain Text destination using the same NSString provider and String drop destination. No model, scroll view, disk library, or real Dock mutation.</x:v>
      </x:c>
      <x:c r="E156" s="42" t="str">
        <x:v>The probe is gated by debug, demo, and drag-probe flags. Its visible counter showed four early native drops whose input origin was unknown. The user confirmed they were not performing that input, so those events are not treated as controlled results.</x:v>
      </x:c>
      <x:c r="F156" s="42" t="str">
        <x:v>Capture the count-four baseline, issue one controlled screen gesture between the visible source and destination centers, inspect provider, target, and accept logs, then capture immediate and settled results.</x:v>
      </x:c>
      <x:c r="G156" s="42" t="str">
        <x:v>The control identifies whether the same screen-control gesture reaches target and accept callbacks on a stripped-down native surface.</x:v>
      </x:c>
      <x:c r="H156" s="42" t="str">
        <x:v>The controlled gesture logged a provider event at 20:17:11.518, no target or accept event followed, and the visible drop count stayed four in both immediate and settled captures. The control stopped at the same stage as the editor attempt.</x:v>
      </x:c>
      <x:c r="I156" s="42" t="str">
        <x:v>Blocked</x:v>
      </x:c>
      <x:c r="J156" s="42" t="str">
        <x:v>Not applicable</x:v>
      </x:c>
      <x:c r="K156" s="42" t="str">
        <x:v>Not run</x:v>
      </x:c>
      <x:c r="L156" s="42" t="str">
        <x:v>Not run</x:v>
      </x:c>
      <x:c r="M156" s="42" t="str"/>
      <x:c r="N156" s="42" t="str"/>
      <x:c r="O156" s="42" t="str"/>
      <x:c r="P156" s="42" t="str"/>
      <x:c r="Q156" s="42" t="str">
        <x:v>root and blackout_benchmark_resume</x:v>
      </x:c>
      <x:c r="R156" s="52" t="n">
        <x:v>46270.057708333334</x:v>
      </x:c>
      <x:c r="S156" s="42" t="str">
        <x:v>The stripped-down control does not support attributing the no-op to the editor's Button, selection model, scroll view, or String conversion. It also does not prove a screen-control or operating-system fault. Pointer drag delivery remains unverified. Two transient ScreenCaptureKit -3811 errors recovered through fresh state and are test-tool events, not app defects.</x:v>
      </x:c>
    </x:row>
    <x:row r="157">
      <x:c r="A157" s="42" t="str">
        <x:v>TR-BOUNDARY-DRAG-DIAGNOSTIC-CLEANUP-GREEN-001</x:v>
      </x:c>
      <x:c r="B157" s="42" t="str">
        <x:v>PRF-020, PRF-033, PRF-034, MEN-004, MOT-005</x:v>
      </x:c>
      <x:c r="C157" s="42" t="str">
        <x:v>post-diagnostic production-source cleanup regression, 2026-09-04</x:v>
      </x:c>
      <x:c r="D157" s="42" t="str">
        <x:v>macOS 26.4.1 arm64 core and hosted test processes with isolated fixtures and mock Dock services. No real Dock mutation.</x:v>
      </x:c>
      <x:c r="E157" s="42" t="str">
        <x:v>All temporary drag probe views, flags, logger imports, callback traces, and helpers are removed. The DEF-075 boundary predicate repair and its tests remain.</x:v>
      </x:c>
      <x:c r="F157" s="42" t="str">
        <x:v>Review production source cleanup, run the complete Swift package suite, run DockitAppTests, and parse the retained hosted result bundle.</x:v>
      </x:c>
      <x:c r="G157" s="42" t="str">
        <x:v>Production drag behavior is unchanged, temporary diagnostics are absent, the boundary fix remains, and all core and hosted checks pass without failures or skips.</x:v>
      </x:c>
      <x:c r="H157" s="42" t="str">
        <x:v>Root removed and reviewed all temporary diagnostic code. The clean app-only build succeeded. The core suite passed 76 Swift Testing cases and 11 XCTest cases. DockitAppTests passed 41 declared tests and 44 concrete executions with zero failures or skipped tests.</x:v>
      </x:c>
      <x:c r="I157" s="42" t="str">
        <x:v>Pass</x:v>
      </x:c>
      <x:c r="J157" s="42" t="str">
        <x:v>Not run</x:v>
      </x:c>
      <x:c r="K157" s="42" t="str">
        <x:v>Not run</x:v>
      </x:c>
      <x:c r="L157" s="42" t="str">
        <x:v>Not run</x:v>
      </x:c>
      <x:c r="M157" s="42" t="str"/>
      <x:c r="N157" s="42" t="str">
        <x:v>artifacts/test-results/DockitAppTests-boundary-drag-cleanup.xcresult</x:v>
      </x:c>
      <x:c r="O157" s="42" t="str"/>
      <x:c r="P157" s="42" t="str">
        <x:v>DEF-075, DEF-077</x:v>
      </x:c>
      <x:c r="Q157" s="42" t="str">
        <x:v>root and blackout_benchmark_resume</x:v>
      </x:c>
      <x:c r="R157" s="52" t="n">
        <x:v>46270.057708333334</x:v>
      </x:c>
      <x:c r="S157" s="42" t="str">
        <x:v>The hosted result retains the known staging Icon carriage-return warning, but its full summary is readable. This regression does not prove pointer drag delivery, continuous reflow, motion, VoiceOver, live Focus, or the real Dock.</x:v>
      </x:c>
    </x:row>
    <x:row r="158">
      <x:c r="A158" s="42" t="str">
        <x:v>TR-BOUNDARY-DRAG-POST-CLEANUP-APPEARANCE-BLOCKED-001</x:v>
      </x:c>
      <x:c r="B158" s="42" t="str">
        <x:v>PRF-020, PRF-033, PRF-034, MEN-005, UX-003</x:v>
      </x:c>
      <x:c r="C158" s="42" t="str">
        <x:v>post-diagnostic clean app appearance attempt, 2026-09-04</x:v>
      </x:c>
      <x:c r="D158" s="42" t="str">
        <x:v>Native screen-control session with a clean built demo app. No real Dock mutation.</x:v>
      </x:c>
      <x:c r="E158" s="42" t="str">
        <x:v>The intended scope was light and dark editor captures at default and minimum widths after removing every drag probe and trace.</x:v>
      </x:c>
      <x:c r="F158" s="42" t="str">
        <x:v>Resize from minimum to default width, open the picker as needed for fixture control, and capture four appearance states.</x:v>
      </x:c>
      <x:c r="G158" s="42" t="str">
        <x:v>The same controlled fixture remains stable for four valid post-cleanup appearance captures.</x:v>
      </x:c>
      <x:c r="H158" s="42" t="str">
        <x:v>One resize succeeded, then the fixture changed across Reading, games, and personal and games activated outside root's recorded actions. Screen control repeatedly reported outside foreground-app changes. The picker action did not produce a usable menu, and later actions hit the outside-change guard. Root stopped all UI input.</x:v>
      </x:c>
      <x:c r="I158" s="42" t="str">
        <x:v>Blocked</x:v>
      </x:c>
      <x:c r="J158" s="42" t="str">
        <x:v>Blocked</x:v>
      </x:c>
      <x:c r="K158" s="42" t="str">
        <x:v>Not run</x:v>
      </x:c>
      <x:c r="L158" s="42" t="str">
        <x:v>Not run</x:v>
      </x:c>
      <x:c r="M158" s="42" t="str"/>
      <x:c r="N158" s="42" t="str"/>
      <x:c r="O158" s="42" t="str"/>
      <x:c r="P158" s="42" t="str"/>
      <x:c r="Q158" s="42" t="str">
        <x:v>root and blackout_benchmark_resume</x:v>
      </x:c>
      <x:c r="R158" s="52" t="n">
        <x:v>46270.057708333334</x:v>
      </x:c>
      <x:c r="S158" s="42" t="str">
        <x:v>This is a shared GUI control conflict, not a dockit defect. No four-state post-cleanup visual claim is made. Prior bounded light and active-dark evidence remains valid for its recorded state. Root left the possibly open demo app untouched and confirmed no probe code or log stream remains.</x:v>
      </x:c>
    </x:row>
    <x:row r="159">
      <x:c r="A159" s="42" t="str">
        <x:v>TR-STALE-DROP-RED-001</x:v>
      </x:c>
      <x:c r="B159" s="42" t="str">
        <x:v>PRF-020, PRF-028, PRF-034</x:v>
      </x:c>
      <x:c r="C159" s="42" t="str">
        <x:v>pre-fix model with new stale-drop regression cases</x:v>
      </x:c>
      <x:c r="D159" s="42" t="str">
        <x:v>hosted macOS tests, isolated test storage, no real Dock writes</x:v>
      </x:c>
      <x:c r="E159" s="42" t="str">
        <x:v>A drag identifies its source layout, but the previous model reorder method uses whichever profile is selected at execution.</x:v>
      </x:c>
      <x:c r="F159" s="42" t="str">
        <x:v>Run the full AppModelTests suite with stale source, changed layout and reentrant save-drain cases before changing the model.</x:v>
      </x:c>
      <x:c r="G159" s="42" t="str">
        <x:v>Stale requests cannot mutate another profile or overwrite a changed layout.</x:v>
      </x:c>
      <x:c r="H159" s="42" t="str">
        <x:v>Three stale-drop tests failed with seven assertions. One unrelated assertion expected the superseded glass picker bezel. Duplicate in-flight activation and replacement-save regressions passed.</x:v>
      </x:c>
      <x:c r="I159" s="42" t="str">
        <x:v>Fail</x:v>
      </x:c>
      <x:c r="J159" s="42" t="str">
        <x:v>Not run</x:v>
      </x:c>
      <x:c r="K159" s="42" t="str">
        <x:v>Not run</x:v>
      </x:c>
      <x:c r="L159" s="42" t="str">
        <x:v>Not run</x:v>
      </x:c>
      <x:c r="M159" s="42" t="str"/>
      <x:c r="N159" s="42" t="str">
        <x:v>artifacts/reference-drag-safety/red-model.log</x:v>
      </x:c>
      <x:c r="O159" s="42" t="str"/>
      <x:c r="P159" s="42" t="str">
        <x:v>DEF-078</x:v>
      </x:c>
      <x:c r="Q159" s="42" t="str">
        <x:v>drag_request_safety</x:v>
      </x:c>
      <x:c r="R159" s="52" t="n">
        <x:v>46270.38743875</x:v>
      </x:c>
      <x:c r="S159" s="42" t="str">
        <x:v>The earlier compile failure and method-filtered zero-test run are not regression evidence. Root reviewed the changed model and test output after the worker reproduced the failure before fixing it.</x:v>
      </x:c>
    </x:row>
    <x:row r="160">
      <x:c r="A160" s="42" t="str">
        <x:v>TR-REFERENCE-EDITOR-HOSTED-001</x:v>
      </x:c>
      <x:c r="B160" s="42" t="str">
        <x:v>PRF-020, PRF-023, PRF-028, PRF-034, PRF-004, MEN-005</x:v>
      </x:c>
      <x:c r="C160" s="42" t="str">
        <x:v>first integrated fixed-editor build, 2026-09-05</x:v>
      </x:c>
      <x:c r="D160" s="42" t="str">
        <x:v>macOS 26 hosted tests with isolated stores; no real Dock writes</x:v>
      </x:c>
      <x:c r="E160" s="42" t="str"/>
      <x:c r="F160" s="42" t="str">
        <x:v>Run the integrated hosted suite after the stale-drop fix, fixed NSWindow adapter, details extraction and palette changes. Read the result bundle, not only the final log line.</x:v>
      </x:c>
      <x:c r="G160" s="42" t="str">
        <x:v>All declared tests execute without failure or skips. Stale drops cannot mutate changed profiles or layouts. Duplicate activation and replacement-save regressions remain green.</x:v>
      </x:c>
      <x:c r="H160" s="42" t="str">
        <x:v>55 declared tests and 71 concrete executions passed with zero failures and zero skips. Core tests separately passed 76 Swift Testing and 11 XCTest checks. Ledger and reference tools passed 20 tests.</x:v>
      </x:c>
      <x:c r="I160" s="42" t="str">
        <x:v>Pass</x:v>
      </x:c>
      <x:c r="J160" s="42" t="str">
        <x:v>Not run</x:v>
      </x:c>
      <x:c r="K160" s="42" t="str">
        <x:v>Not run</x:v>
      </x:c>
      <x:c r="L160" s="42" t="str">
        <x:v>Not run</x:v>
      </x:c>
      <x:c r="M160" s="42" t="str">
        <x:v>artifacts/reference-drag-safety/red-model.log</x:v>
      </x:c>
      <x:c r="N160" s="42" t="str">
        <x:v>artifacts/reference-editor/integrated-hosted.log; artifacts/reference-editor/integrated-hosted.xcresult; artifacts/reference-editor/integrated-core.log; artifacts/reference-editor/ledger-video-tests.log</x:v>
      </x:c>
      <x:c r="O160" s="42" t="str"/>
      <x:c r="P160" s="42" t="str">
        <x:v>DEF-078</x:v>
      </x:c>
      <x:c r="Q160" s="42" t="str">
        <x:v>root</x:v>
      </x:c>
      <x:c r="R160" s="52" t="n">
        <x:v>46270.404052592596</x:v>
      </x:c>
      <x:c r="S160" s="42" t="str">
        <x:v>This run predates the final picker bezel, rounded focus shape, four-point header adjustment and masked production asset promotion. Those later changes compile but need fresh runtime tests. Unit tests do not verify pointer transport or motion.</x:v>
      </x:c>
    </x:row>
    <x:row r="161">
      <x:c r="A161" s="42" t="str">
        <x:v>TR-REFERENCE-EDITOR-STATIC-001</x:v>
      </x:c>
      <x:c r="B161" s="42" t="str">
        <x:v>PRF-023, PRF-004, MEN-005, UX-003, PRF-034</x:v>
      </x:c>
      <x:c r="C161" s="42" t="str">
        <x:v>first integrated fixed-editor demo</x:v>
      </x:c>
      <x:c r="D161" s="42" t="str">
        <x:v>isolated in-memory demo; light appearance; 620 by 252 capture; different wallpaper and applications from the reference</x:v>
      </x:c>
      <x:c r="E161" s="42" t="str"/>
      <x:c r="F161" s="42" t="str">
        <x:v>Capture the raised editor and compare normalized layout with reference frame 1000. Inspect titlebar, identity, action group, preview layers, spacer and selection. Stop interactions when the demo changes without a recorded test action.</x:v>
      </x:c>
      <x:c r="G161" s="42" t="str">
        <x:v>The editor is fixed at 620 by 252 with matching composition, a visible rounded picker backing, neutral compact actions, one selected treatment and rounded keyboard focus.</x:v>
      </x:c>
      <x:c r="H161" s="42" t="str">
        <x:v>Outer size is correct. The broad panel and shelf are restored, details and bottom status rows are removed, and the spacer is slim. The picker backing is weak, native focus is square, the composition is about four points high, and the action group is wider than the normalized reference. A spacer appeared without a recorded root action, so this is static evidence only.</x:v>
      </x:c>
      <x:c r="I161" s="42" t="str">
        <x:v>Not run</x:v>
      </x:c>
      <x:c r="J161" s="42" t="str">
        <x:v>Fail</x:v>
      </x:c>
      <x:c r="K161" s="42" t="str">
        <x:v>Not run</x:v>
      </x:c>
      <x:c r="L161" s="42" t="str">
        <x:v>Not run</x:v>
      </x:c>
      <x:c r="M161" s="42" t="str">
        <x:v>artifacts/ui/reference-editor-before-raised.png</x:v>
      </x:c>
      <x:c r="N161" s="42" t="str">
        <x:v>artifacts/reference-editor/refreshed-dark.png; artifacts/reference-editor/geometry-material-review.md</x:v>
      </x:c>
      <x:c r="O161" s="42" t="str"/>
      <x:c r="P161" s="42" t="str">
        <x:v>DEF-079, DEF-080, DEF-081</x:v>
      </x:c>
      <x:c r="Q161" s="42" t="str">
        <x:v>root and reference_editor</x:v>
      </x:c>
      <x:c r="R161" s="52" t="n">
        <x:v>46270.40405266204</x:v>
      </x:c>
      <x:c r="S161" s="42" t="str">
        <x:v>Despite its filename, refreshed-dark.png is a light JPEG capture. It is not dark appearance evidence. An unanswered shared-window question pauses interaction testing. Root recorded findings before applying native bezel/focus and vertical-position candidates; those candidates await visual retest.</x:v>
      </x:c>
    </x:row>
    <x:row r="162">
      <x:c r="A162" s="42" t="str">
        <x:v>TR-REFERENCE-ICON-MASK-001</x:v>
      </x:c>
      <x:c r="B162" s="42" t="str">
        <x:v>UX-002, MEN-007, SET-004</x:v>
      </x:c>
      <x:c r="C162" s="42" t="str">
        <x:v>review-ready-02 masked master and deterministic production size ladder</x:v>
      </x:c>
      <x:c r="D162" s="42" t="str">
        <x:v>offline CoreGraphics mask and raster inspection; no real Dock changes</x:v>
      </x:c>
      <x:c r="E162" s="42" t="str"/>
      <x:c r="F162" s="42" t="str">
        <x:v>Run source-hash, full-boundary, antialias and opaque-interior tests. Inspect the entire mask on light and dark backgrounds, shoulder and bottom edge crops, and the generated size ladder. Promote only the corrected reviewed master and separate miniature Dock template.</x:v>
      </x:c>
      <x:c r="G162" s="42" t="str">
        <x:v>True exterior transparency with no painted checker remnants. Preserve the mascot interior exactly. Produce 16 through 1024 pixel assets and readable separate 16/18 point monochrome templates.</x:v>
      </x:c>
      <x:c r="H162" s="42" t="str">
        <x:v>Ten mask tests passed on root retest. 1,033,818 opaque interior pixels remain byte-identical. The earlier candidate left checker fragments at the shoulders and was rejected. The corrected review-ready-02 boundary passed visual inspection. Its 1024 master and ten standard raster slots were installed in source assets; the old master is retained as evidence.</x:v>
      </x:c>
      <x:c r="I162" s="42" t="str">
        <x:v>Pass</x:v>
      </x:c>
      <x:c r="J162" s="42" t="str">
        <x:v>Pass</x:v>
      </x:c>
      <x:c r="K162" s="42" t="str">
        <x:v>Not applicable</x:v>
      </x:c>
      <x:c r="L162" s="42" t="str">
        <x:v>Not run</x:v>
      </x:c>
      <x:c r="M162" s="42" t="str">
        <x:v>artifacts/reference-icon-mask/previous-production-master.png</x:v>
      </x:c>
      <x:c r="N162" s="42" t="str">
        <x:v>artifacts/reference-icon-mask/audit.md; artifacts/reference-icon-mask/root-mask-retest.log; artifacts/reference-icon-mask/production-generation.log; Design/AppIconMaster.png; Design/MenuBarIcon16.svg; Design/MenuBarIcon18.svg</x:v>
      </x:c>
      <x:c r="O162" s="42" t="str"/>
      <x:c r="P162" s="42" t="str">
        <x:v>DEF-050</x:v>
      </x:c>
      <x:c r="Q162" s="42" t="str">
        <x:v>drag_flow_grounding and root</x:v>
      </x:c>
      <x:c r="R162" s="52" t="n">
        <x:v>46270.404052777776</x:v>
      </x:c>
      <x:c r="S162" s="42" t="str">
        <x:v>Visual Pass is limited to reviewed offline assets, not live Finder, Dock, About or menu bar rendering. Increased Contrast and actual-size system placement remain untested. No new image generation was needed after explicit user approval of the deterministic mask.</x:v>
      </x:c>
    </x:row>
    <x:row r="163">
      <x:c r="A163" s="42" t="str">
        <x:v>TR-REFERENCE-FRAMES-000091-000210-001</x:v>
      </x:c>
      <x:c r="B163" s="42" t="str">
        <x:v>UX-003, MOT-005, PRF-034</x:v>
      </x:c>
      <x:c r="C163" s="42" t="str">
        <x:v>original source video and first fixed-editor static capture</x:v>
      </x:c>
      <x:c r="D163" s="42" t="str">
        <x:v>individual original-resolution reference review; no current interaction recording</x:v>
      </x:c>
      <x:c r="E163" s="42" t="str"/>
      <x:c r="F163" s="42" t="str">
        <x:v>Review original frames 91 through 210 individually, preserve PTS and extraction hashes, review worker reports directly, merge explicit per-frame annotations, and validate coverage.</x:v>
      </x:c>
      <x:c r="G163" s="42" t="str">
        <x:v>Only individually inspected frames count; no exact match without equivalent current evidence.</x:v>
      </x:c>
      <x:c r="H163" s="42" t="str">
        <x:v>Both 60-frame batches are recorded. Total formal coverage is 252 of 2,374 frames, with 2,122 remaining. Outcomes are 30 historical differences, 222 notComparable, and zero matches. Frames 176 and 199 add separate rounded selection outlines without visible item displacement.</x:v>
      </x:c>
      <x:c r="I163" s="42" t="str">
        <x:v>Pass</x:v>
      </x:c>
      <x:c r="J163" s="42" t="str">
        <x:v>Not run</x:v>
      </x:c>
      <x:c r="K163" s="42" t="str">
        <x:v>Not run</x:v>
      </x:c>
      <x:c r="L163" s="42" t="str">
        <x:v>Not run</x:v>
      </x:c>
      <x:c r="M163" s="42" t="str"/>
      <x:c r="N163" s="42" t="str">
        <x:v>artifacts/video-reference/annotations.json; artifacts/video-reference/coverage.json; artifacts/video-reference/reviews/reference-frames-000091-000150.json; artifacts/video-reference/reviews/reference-frames-000151-000210.json</x:v>
      </x:c>
      <x:c r="O163" s="42" t="str"/>
      <x:c r="P163" s="42" t="str"/>
      <x:c r="Q163" s="42" t="str">
        <x:v>drag_request_safety and root</x:v>
      </x:c>
      <x:c r="R163" s="52" t="n">
        <x:v>46270.40405283565</x:v>
      </x:c>
      <x:c r="S163" s="42" t="str">
        <x:v>Coverage command exit 1 means the full review remains incomplete, not a malformed report. Contact sheets do not count. Source frames and current states differ in fixture, wallpaper and scale; this is not a motion or visual-parity pass.</x:v>
      </x:c>
    </x:row>
    <x:row r="164">
      <x:c r="A164" s="42" t="str">
        <x:v>TR-REFERENCE-EDITOR-FINAL-BUILD-001</x:v>
      </x:c>
      <x:c r="B164" s="42" t="str">
        <x:v>PRF-023, MEN-005, UX-002, UX-003</x:v>
      </x:c>
      <x:c r="C164" s="42" t="str">
        <x:v>dockit-reference-final, 2026-09-05</x:v>
      </x:c>
      <x:c r="D164" s="42" t="str">
        <x:v>build-for-testing only; isolated DerivedData destination; no hosted test execution</x:v>
      </x:c>
      <x:c r="E164" s="42" t="str"/>
      <x:c r="F164" s="42" t="str">
        <x:v>Build app and hosted test bundle after native picker/focus candidates, header adjustment and production icon promotion.</x:v>
      </x:c>
      <x:c r="G164" s="42" t="str">
        <x:v>App and tests compile with the current assets.</x:v>
      </x:c>
      <x:c r="H164" s="42" t="str">
        <x:v>TEST BUILD SUCCEEDED. No hosted tests were executed in this run.</x:v>
      </x:c>
      <x:c r="I164" s="42" t="str">
        <x:v>Pass</x:v>
      </x:c>
      <x:c r="J164" s="42" t="str">
        <x:v>Not run</x:v>
      </x:c>
      <x:c r="K164" s="42" t="str">
        <x:v>Not run</x:v>
      </x:c>
      <x:c r="L164" s="42" t="str">
        <x:v>Not run</x:v>
      </x:c>
      <x:c r="M164" s="42" t="str"/>
      <x:c r="N164" s="42" t="str">
        <x:v>artifacts/reference-editor/final-build-for-testing.log</x:v>
      </x:c>
      <x:c r="O164" s="42" t="str"/>
      <x:c r="P164" s="42" t="str"/>
      <x:c r="Q164" s="42" t="str">
        <x:v>root</x:v>
      </x:c>
      <x:c r="R164" s="52" t="n">
        <x:v>46270.40405287037</x:v>
      </x:c>
      <x:c r="S164" s="42" t="str">
        <x:v>Avoided launching another test host while the shared demo-window question was unanswered. Compile success does not establish runtime correctness.</x:v>
      </x:c>
    </x:row>
    <x:row r="165">
      <x:c r="A165" s="42" t="str">
        <x:v>TR-REFERENCE-FEEDBACK-20260905</x:v>
      </x:c>
      <x:c r="B165" s="42" t="str">
        <x:v>UX-002, UX-003, PRF-004, PRF-023, PRF-034, MEN-007, MOT-005</x:v>
      </x:c>
      <x:c r="C165" s="42" t="str">
        <x:v>current user-visible test build, exact bundle unconfirmed</x:v>
      </x:c>
      <x:c r="D165" s="42" t="str">
        <x:v>user report and attached actual Dock screenshot</x:v>
      </x:c>
      <x:c r="E165" s="42" t="str"/>
      <x:c r="F165" s="42" t="str">
        <x:v>Inspect the attached icon screenshot and reproduce each reported control, appearance, picker, menu and motion defect in an isolated current build.</x:v>
      </x:c>
      <x:c r="G165" s="42" t="str">
        <x:v>App icon fills its intended system footprint. Controls match the flat reference, all names fit, colors adapt to dark mode, menu icon contains three squircles, and drag/status motion is smooth.</x:v>
      </x:c>
      <x:c r="H165" s="42" t="str">
        <x:v>Attached screenshot confirms the mascot tile sits inside a larger dark rounded plate. User reports bright dark-mode badge underlay, shiny picker and use action, gray edit action, current dock picker overflow, missing menu icon, and abrupt drag/apply/pending-state transitions. Source confirms a hard-coded white badge and rectangular rather than square menu tiles.</x:v>
      </x:c>
      <x:c r="I165" s="42" t="str">
        <x:v>Not run</x:v>
      </x:c>
      <x:c r="J165" s="42" t="str">
        <x:v>Fail</x:v>
      </x:c>
      <x:c r="K165" s="42" t="str">
        <x:v>Fail</x:v>
      </x:c>
      <x:c r="L165" s="42" t="str">
        <x:v>Not run</x:v>
      </x:c>
      <x:c r="M165" s="42" t="str"/>
      <x:c r="N165" s="42" t="str">
        <x:v>artifacts/reference-editor/user-icon-underfill.png</x:v>
      </x:c>
      <x:c r="O165" s="42" t="str"/>
      <x:c r="P165" s="42" t="str">
        <x:v>DEF-081, DEF-082, DEF-083, DEF-084, DEF-085, DEF-086, DEF-087, DEF-076</x:v>
      </x:c>
      <x:c r="Q165" s="42" t="str">
        <x:v>user report with root source and screenshot inspection</x:v>
      </x:c>
      <x:c r="R165" s="52" t="n">
        <x:v>46270.43710675926</x:v>
      </x:c>
      <x:c r="S165" s="42" t="str">
        <x:v>Motion verdict records the user report, not a new root recording. Root reproduced unequal control backing in qa-menu-glass-light.png. Exact frame timing and current bundle identity remain unverified.</x:v>
      </x:c>
    </x:row>
    <x:row r="166">
      <x:c r="A166" s="42" t="str">
        <x:v>TR-FLAT-TESTS-073-085</x:v>
      </x:c>
      <x:c r="B166" s="42" t="str">
        <x:v>UX-001, UX-003, PRF-004, PRF-020, PRF-034, PRF-032</x:v>
      </x:c>
      <x:c r="C166" s="42" t="str">
        <x:v>flat-feedback-final, macOS 26.6, ad-hoc isolated demo 2026-09-05</x:v>
      </x:c>
      <x:c r="D166" s="42" t="str">
        <x:v>macOS 26.6; in-memory isolated QA or hosted test fixture; no live Dock writes</x:v>
      </x:c>
      <x:c r="E166" s="42" t="str">
        <x:v>Preserve production profiles and preferences. Exclude intervals with duplicate QA processes or unrecorded fixture changes.</x:v>
      </x:c>
      <x:c r="F166" s="42" t="str">
        <x:v>Build and run the isolated hosted suites after flat controls, picker measurement, native drag adapter and asset integration.</x:v>
      </x:c>
      <x:c r="G166" s="42" t="str">
        <x:v>No regression in save/apply guards, picker geometry, palette or native window contracts.</x:v>
      </x:c>
      <x:c r="H166" s="42" t="str">
        <x:v>Intermediate builds pass 73 and then 85 declared hosted tests. Native drag selection-anchor and malformed-payload corrections are included in the 85-test native-icon-drag run. These are not live pointer or visual tests.</x:v>
      </x:c>
      <x:c r="I166" s="42" t="str">
        <x:v>Pass</x:v>
      </x:c>
      <x:c r="J166" s="42" t="str">
        <x:v>Not run</x:v>
      </x:c>
      <x:c r="K166" s="42" t="str">
        <x:v>Not run</x:v>
      </x:c>
      <x:c r="L166" s="42" t="str">
        <x:v>Not run</x:v>
      </x:c>
      <x:c r="M166" s="42" t="str"/>
      <x:c r="N166" s="42" t="str">
        <x:v>artifacts/reference-editor/flat-controls-picker-hosted.log; artifacts/reference-editor/native-icon-drag-hosted.log</x:v>
      </x:c>
      <x:c r="O166" s="42"/>
      <x:c r="P166" s="42" t="str">
        <x:v>DEF-076, DEF-081, DEF-084</x:v>
      </x:c>
      <x:c r="Q166" s="42" t="str">
        <x:v>root direct review and bounded agent work</x:v>
      </x:c>
      <x:c r="R166" s="52" t="n">
        <x:v>46270.492458402776</x:v>
      </x:c>
      <x:c r="S166" s="42" t="str">
        <x:v>A bounded run verdict is not an overall feature or release pass. Current motion, accessibility and full regression gates remain open.</x:v>
      </x:c>
    </x:row>
    <x:row r="167">
      <x:c r="A167" s="42" t="str">
        <x:v>TR-PICKER-INSET-RED</x:v>
      </x:c>
      <x:c r="B167" s="42" t="str">
        <x:v>UX-001, PRF-029, MEN-002</x:v>
      </x:c>
      <x:c r="C167" s="42" t="str">
        <x:v>flat-feedback-final, macOS 26.6, ad-hoc isolated demo 2026-09-05</x:v>
      </x:c>
      <x:c r="D167" s="42" t="str">
        <x:v>macOS 26.6; in-memory isolated QA or hosted test fixture; no live Dock writes</x:v>
      </x:c>
      <x:c r="E167" s="42" t="str">
        <x:v>Preserve production profiles and preferences. Exclude intervals with duplicate QA processes or unrecorded fixture changes.</x:v>
      </x:c>
      <x:c r="F167" s="42" t="str">
        <x:v>Add a native-cell regression with actual swatch and arrows for Reading, current dock and a 32-W name.</x:v>
      </x:c>
      <x:c r="G167" s="42" t="str">
        <x:v>Title, swatch and arrows fit; swatch has at least four points of backing clearance.</x:v>
      </x:c>
      <x:c r="H167" s="42" t="str">
        <x:v>86 declared tests run with two issues in the new parameterized inset test. Current dock and 32-W have only three points of image clearance. Reading and the remaining tests pass.</x:v>
      </x:c>
      <x:c r="I167" s="42" t="str">
        <x:v>Fail</x:v>
      </x:c>
      <x:c r="J167" s="42" t="str">
        <x:v>Not run</x:v>
      </x:c>
      <x:c r="K167" s="42" t="str">
        <x:v>Not run</x:v>
      </x:c>
      <x:c r="L167" s="42" t="str">
        <x:v>Not run</x:v>
      </x:c>
      <x:c r="M167" s="42" t="str"/>
      <x:c r="N167" s="42" t="str">
        <x:v>artifacts/reference-editor/picker-inset-red.log</x:v>
      </x:c>
      <x:c r="O167" s="42"/>
      <x:c r="P167" s="42" t="str">
        <x:v>DEF-084</x:v>
      </x:c>
      <x:c r="Q167" s="42" t="str">
        <x:v>root direct review and bounded agent work</x:v>
      </x:c>
      <x:c r="R167" s="52" t="n">
        <x:v>46270.49245844907</x:v>
      </x:c>
      <x:c r="S167" s="42" t="str">
        <x:v>A bounded run verdict is not an overall feature or release pass. Current motion, accessibility and full regression gates remain open.</x:v>
      </x:c>
    </x:row>
    <x:row r="168">
      <x:c r="A168" s="42" t="str">
        <x:v>TR-FLAT-FINAL-HOSTED</x:v>
      </x:c>
      <x:c r="B168" s="42" t="str">
        <x:v>UX-001, UX-003, PRF-004, PRF-020, PRF-034, PRF-032, MEN-007</x:v>
      </x:c>
      <x:c r="C168" s="42" t="str">
        <x:v>flat-feedback-final, macOS 26.6, ad-hoc isolated demo 2026-09-05</x:v>
      </x:c>
      <x:c r="D168" s="42" t="str">
        <x:v>macOS 26.6; in-memory isolated QA or hosted test fixture; no live Dock writes</x:v>
      </x:c>
      <x:c r="E168" s="42" t="str">
        <x:v>Preserve production profiles and preferences. Exclude intervals with duplicate QA processes or unrecorded fixture changes.</x:v>
      </x:c>
      <x:c r="F168" s="42" t="str">
        <x:v>Build after six-point picker backing inset, membership-only transitions and diagnostic cleanup. Refresh isolated hosted app and run all hosted suites.</x:v>
      </x:c>
      <x:c r="G168" s="42" t="str">
        <x:v>All native geometry, model, drag adapter, color and menu asset contracts pass.</x:v>
      </x:c>
      <x:c r="H168" s="42" t="str">
        <x:v>87 declared tests in seven suites pass. Both miniature Dock assets load as template images. The failing picker inset regression passes with the composed backing bounds. Build-for-testing and test execution succeed.</x:v>
      </x:c>
      <x:c r="I168" s="42" t="str">
        <x:v>Pass</x:v>
      </x:c>
      <x:c r="J168" s="42" t="str">
        <x:v>Not run</x:v>
      </x:c>
      <x:c r="K168" s="42" t="str">
        <x:v>Not run</x:v>
      </x:c>
      <x:c r="L168" s="42" t="str">
        <x:v>Not run</x:v>
      </x:c>
      <x:c r="M168" s="42" t="str"/>
      <x:c r="N168" s="42" t="str">
        <x:v>artifacts/reference-editor/flat-feedback-final-build.log; artifacts/reference-editor/flat-feedback-final-hosted.log; artifacts/reference-editor/flat-feedback-final-hosted.xcresult</x:v>
      </x:c>
      <x:c r="O168" s="42"/>
      <x:c r="P168" s="42" t="str">
        <x:v>DEF-076, DEF-081, DEF-084, DEF-087</x:v>
      </x:c>
      <x:c r="Q168" s="42" t="str">
        <x:v>root direct review and bounded agent work</x:v>
      </x:c>
      <x:c r="R168" s="52" t="n">
        <x:v>46270.49245849537</x:v>
      </x:c>
      <x:c r="S168" s="42" t="str">
        <x:v>A bounded run verdict is not an overall feature or release pass. Current motion, accessibility and full regression gates remain open.</x:v>
      </x:c>
    </x:row>
    <x:row r="169">
      <x:c r="A169" s="42" t="str">
        <x:v>TR-FLAT-APPEARANCE-BOUNDED</x:v>
      </x:c>
      <x:c r="B169" s="42" t="str">
        <x:v>UX-001, UX-003, PRF-004, PRF-023, PRF-029, REL-003</x:v>
      </x:c>
      <x:c r="C169" s="42" t="str">
        <x:v>flat-feedback-final, macOS 26.6, ad-hoc isolated demo 2026-09-05</x:v>
      </x:c>
      <x:c r="D169" s="42" t="str">
        <x:v>macOS 26.6; in-memory isolated QA or hosted test fixture; no live Dock writes</x:v>
      </x:c>
      <x:c r="E169" s="42" t="str">
        <x:v>Preserve production profiles and preferences. Exclude intervals with duplicate QA processes or unrecorded fixture changes.</x:v>
      </x:c>
      <x:c r="F169" s="42" t="str">
        <x:v>Inspect actual fixed editor in light and dark. Rename to current dock. Inspect 32-W name, activate in memory and insert a regular spacer.</x:v>
      </x:c>
      <x:c r="G169" s="42" t="str">
        <x:v>Matching flat controls, toned-down dark underlay, complete names and readable pending status without resizing.</x:v>
      </x:c>
      <x:c r="H169" s="42" t="str">
        <x:v>Light and dark flat controlColor surfaces are reviewed. Final current dock picker fits its title, swatch and arrows with padding. The 32-W dark status capture fits current, item count and saved, not applied. That status capture precedes the final membership animation and picker inset only. No animation timing claim.</x:v>
      </x:c>
      <x:c r="I169" s="42" t="str">
        <x:v>Pass</x:v>
      </x:c>
      <x:c r="J169" s="42" t="str">
        <x:v>Pass</x:v>
      </x:c>
      <x:c r="K169" s="42" t="str">
        <x:v>Not run</x:v>
      </x:c>
      <x:c r="L169" s="42" t="str">
        <x:v>Not run</x:v>
      </x:c>
      <x:c r="M169" s="42" t="str">
        <x:v>artifacts/reference-editor/qa-menu-glass-light.png; artifacts/reference-editor/qa-current-dock-picker-light.png</x:v>
      </x:c>
      <x:c r="N169" s="42" t="str">
        <x:v>artifacts/reference-editor/qa-final-current-dock-picker-light.png; artifacts/reference-editor/qa-flat-control-color-dark.png; artifacts/reference-editor/qa-status-long-name-dark-pending.png</x:v>
      </x:c>
      <x:c r="O169" s="42"/>
      <x:c r="P169" s="42" t="str">
        <x:v>DEF-081, DEF-083, DEF-084, DEF-085</x:v>
      </x:c>
      <x:c r="Q169" s="42" t="str">
        <x:v>root direct review and bounded agent work</x:v>
      </x:c>
      <x:c r="R169" s="52" t="n">
        <x:v>46270.49245853009</x:v>
      </x:c>
      <x:c r="S169" s="42" t="str">
        <x:v>A bounded run verdict is not an overall feature or release pass. Current motion, accessibility and full regression gates remain open.</x:v>
      </x:c>
    </x:row>
    <x:row r="170">
      <x:c r="A170" s="42" t="str">
        <x:v>TR-NATIVE-ICON-BOUNDED</x:v>
      </x:c>
      <x:c r="B170" s="42" t="str">
        <x:v>UX-002, SET-004</x:v>
      </x:c>
      <x:c r="C170" s="42" t="str">
        <x:v>flat-feedback-final, macOS 26.6, ad-hoc isolated demo 2026-09-05</x:v>
      </x:c>
      <x:c r="D170" s="42" t="str">
        <x:v>macOS 26.6; in-memory isolated QA or hosted test fixture; no live Dock writes</x:v>
      </x:c>
      <x:c r="E170" s="42" t="str">
        <x:v>Preserve production profiles and preferences. Exclude intervals with duplicate QA processes or unrecorded fixture changes.</x:v>
      </x:c>
      <x:c r="F170" s="42" t="str">
        <x:v>Compare native icon package candidates. Inspect 1024, 128, 32 and 16 pixel default/dark exports, Finder information and actual about section. Retest stale about icon after exact isolated bundle refresh and registration.</x:v>
      </x:c>
      <x:c r="G170" s="42" t="str">
        <x:v>One full white body with complete face, paws, shelf and pastel tiles. No second dark plate.</x:v>
      </x:c>
      <x:c r="H170" s="42" t="str">
        <x:v>Selected 1.26 native layer scale preserves the master hash. Finder information shows full white body. First light about capture retains stale nested icon. Dark about after isolated bundle modification-time refresh and registration shows the correct single white body. Native small exports preserve a readable face and shelf. Actual system Dock capture remains unavailable.</x:v>
      </x:c>
      <x:c r="I170" s="42" t="str">
        <x:v>Pass</x:v>
      </x:c>
      <x:c r="J170" s="42" t="str">
        <x:v>Pass</x:v>
      </x:c>
      <x:c r="K170" s="42" t="str">
        <x:v>Not run</x:v>
      </x:c>
      <x:c r="L170" s="42" t="str">
        <x:v>Not run</x:v>
      </x:c>
      <x:c r="M170" s="42" t="str">
        <x:v>artifacts/reference-editor/user-icon-underfill.png; artifacts/reference-editor/qa-native-icon-about-light.png</x:v>
      </x:c>
      <x:c r="N170" s="42" t="str">
        <x:v>artifacts/reference-icon-composer/scale-126/audit.json; artifacts/reference-editor/qa-native-icon-finder-info.png; artifacts/reference-editor/qa-native-icon-about-registration-dark.png</x:v>
      </x:c>
      <x:c r="O170" s="42"/>
      <x:c r="P170" s="42" t="str">
        <x:v>DEF-082</x:v>
      </x:c>
      <x:c r="Q170" s="42" t="str">
        <x:v>root direct review and bounded agent work</x:v>
      </x:c>
      <x:c r="R170" s="52" t="n">
        <x:v>46270.49245857639</x:v>
      </x:c>
      <x:c r="S170" s="42" t="str">
        <x:v>A bounded run verdict is not an overall feature or release pass. Current motion, accessibility and full regression gates remain open.</x:v>
      </x:c>
    </x:row>
    <x:row r="171">
      <x:c r="A171" s="42" t="str">
        <x:v>TR-NATIVE-DRAG-FLAT-INCONCLUSIVE</x:v>
      </x:c>
      <x:c r="B171" s="42" t="str">
        <x:v>PRF-020, PRF-034, MOT-005, REL-003</x:v>
      </x:c>
      <x:c r="C171" s="42" t="str">
        <x:v>flat-feedback-final, macOS 26.6, ad-hoc isolated demo 2026-09-05</x:v>
      </x:c>
      <x:c r="D171" s="42" t="str">
        <x:v>macOS 26.6; in-memory isolated QA or hosted test fixture; no live Dock writes</x:v>
      </x:c>
      <x:c r="E171" s="42" t="str">
        <x:v>Preserve production profiles and preferences. Exclude intervals with duplicate QA processes or unrecorded fixture changes.</x:v>
      </x:c>
      <x:c r="F171" s="42" t="str">
        <x:v>Attempt controlled spacer and app drags through the desktop tool. Trace native callbacks in a temporary demo-only diagnostic build and compare prior stripped-down native probe results.</x:v>
      </x:c>
      <x:c r="G171" s="42" t="str">
        <x:v>Observe source, hover, accepted drop and one save, plus valid recordings of reflow and interruption.</x:v>
      </x:c>
      <x:c r="H171" s="42" t="str">
        <x:v>Attempted drags leave stored order unchanged and do not deliver traced callbacks. The previous minimal native control probe had the same input limitation. No new transport cause, accepted-drop success or smoothness result is established. Temporary tracing is removed in the final build. Current recordings are missing.</x:v>
      </x:c>
      <x:c r="I171" s="42" t="str">
        <x:v>Blocked</x:v>
      </x:c>
      <x:c r="J171" s="42" t="str">
        <x:v>Not run</x:v>
      </x:c>
      <x:c r="K171" s="42" t="str">
        <x:v>Blocked</x:v>
      </x:c>
      <x:c r="L171" s="42" t="str">
        <x:v>Not run</x:v>
      </x:c>
      <x:c r="M171" s="42" t="str"/>
      <x:c r="N171" s="42" t="str">
        <x:v>artifacts/reference-editor/qa-native-drag-trace-attempt.png; artifacts/reference-editor/flat-feedback-motion-review.md; artifacts/ui/sidebar-free/native-drag-diagnostic-audit.md</x:v>
      </x:c>
      <x:c r="O171" s="42"/>
      <x:c r="P171" s="42" t="str">
        <x:v>DEF-076, DEF-085</x:v>
      </x:c>
      <x:c r="Q171" s="42" t="str">
        <x:v>root direct review and bounded agent work</x:v>
      </x:c>
      <x:c r="R171" s="52" t="n">
        <x:v>46270.49245861111</x:v>
      </x:c>
      <x:c r="S171" s="42" t="str">
        <x:v>A bounded run verdict is not an overall feature or release pass. Current motion, accessibility and full regression gates remain open.</x:v>
      </x:c>
    </x:row>
    <x:row r="172">
      <x:c r="A172" s="42" t="str">
        <x:v>TR-MENUBAR-VISIBILITY-INCONCLUSIVE</x:v>
      </x:c>
      <x:c r="B172" s="42" t="str">
        <x:v>MEN-003, MEN-007, UX-002</x:v>
      </x:c>
      <x:c r="C172" s="42" t="str">
        <x:v>flat-feedback-final, macOS 26.6, ad-hoc isolated demo 2026-09-05</x:v>
      </x:c>
      <x:c r="D172" s="42" t="str">
        <x:v>macOS 26.6; in-memory isolated QA or hosted test fixture; no live Dock writes</x:v>
      </x:c>
      <x:c r="E172" s="42" t="str">
        <x:v>Preserve production profiles and preferences. Exclude intervals with duplicate QA processes or unrecorded fixture changes.</x:v>
      </x:c>
      <x:c r="F172" s="42" t="str">
        <x:v>Check isolated QA preference, settings toggle, source lifecycle and compiled assets. Review the actual screenshot boundary.</x:v>
      </x:c>
      <x:c r="G172" s="42" t="str">
        <x:v>An enabled miniature Dock status item is visible and usable in the system menu bar.</x:v>
      </x:c>
      <x:c r="H172" s="42" t="str">
        <x:v>QA preference and settings toggle are on. Coordinator retains a status item and configures its image/menu. Both template assets load in hosted tests. Captured app window excludes the system menu bar and system capture requests timed out. No creation failure or full visibility proof. Do not overwrite production preferences.</x:v>
      </x:c>
      <x:c r="I172" s="42" t="str">
        <x:v>Blocked</x:v>
      </x:c>
      <x:c r="J172" s="42" t="str">
        <x:v>Blocked</x:v>
      </x:c>
      <x:c r="K172" s="42" t="str">
        <x:v>Not run</x:v>
      </x:c>
      <x:c r="L172" s="42" t="str">
        <x:v>Not run</x:v>
      </x:c>
      <x:c r="M172" s="42" t="str"/>
      <x:c r="N172" s="42" t="str">
        <x:v>artifacts/reference-editor/qa-settings-menubar-enabled-light.png; artifacts/reference-editor/flat-feedback-final-hosted.log</x:v>
      </x:c>
      <x:c r="O172" s="42"/>
      <x:c r="P172" s="42" t="str">
        <x:v>DEF-086, DEF-087</x:v>
      </x:c>
      <x:c r="Q172" s="42" t="str">
        <x:v>root direct review and bounded agent work</x:v>
      </x:c>
      <x:c r="R172" s="52" t="n">
        <x:v>46270.49245864584</x:v>
      </x:c>
      <x:c r="S172" s="42" t="str">
        <x:v>A bounded run verdict is not an overall feature or release pass. Current motion, accessibility and full regression gates remain open.</x:v>
      </x:c>
    </x:row>
    <x:row r="173">
      <x:c r="A173" s="42" t="str">
        <x:v>TR-REFERENCE-COVERAGE-0751</x:v>
      </x:c>
      <x:c r="B173" s="42" t="str">
        <x:v>MOT-005, UX-003, PRF-034</x:v>
      </x:c>
      <x:c r="C173" s="42" t="str">
        <x:v>flat-feedback-final, macOS 26.6, ad-hoc isolated demo 2026-09-05</x:v>
      </x:c>
      <x:c r="D173" s="42" t="str">
        <x:v>macOS 26.6; in-memory isolated QA or hosted test fixture; no live Dock writes</x:v>
      </x:c>
      <x:c r="E173" s="42" t="str">
        <x:v>Preserve production profiles and preferences. Exclude intervals with duplicate QA processes or unrecorded fixture changes.</x:v>
      </x:c>
      <x:c r="F173" s="42" t="str">
        <x:v>Review and merge reports for original frames391..499,541..630,631..750. Preserve original timestamps and source. Validate canonical coverage.</x:v>
      </x:c>
      <x:c r="G173" s="42" t="str">
        <x:v>Only individual full-resolution frame inspection counts. Exact parity needs equivalent current recordings.</x:v>
      </x:c>
      <x:c r="H173" s="42" t="str">
        <x:v>751 of 2374 frames are individually reviewed, contiguous 0..750. 1623 remain unreviewed. Outcomes are 30 difference, 721 notComparable, 0 match. Root reads all report observations and inspects representative originals. No matched current spacer drag recording exists; full review remains incomplete.</x:v>
      </x:c>
      <x:c r="I173" s="42" t="str">
        <x:v>Blocked</x:v>
      </x:c>
      <x:c r="J173" s="42" t="str">
        <x:v>Blocked</x:v>
      </x:c>
      <x:c r="K173" s="42" t="str">
        <x:v>Blocked</x:v>
      </x:c>
      <x:c r="L173" s="42" t="str">
        <x:v>Not run</x:v>
      </x:c>
      <x:c r="M173" s="42" t="str"/>
      <x:c r="N173" s="42" t="str">
        <x:v>artifacts/video-reference/coverage.json; artifacts/video-reference/reviews/reference-frames-000391-000499.json; artifacts/video-reference/reviews/reference-frames-000541-000630.json; artifacts/video-reference/reviews/reference-frames-000631-000750.json</x:v>
      </x:c>
      <x:c r="O173" s="42"/>
      <x:c r="P173" s="42" t="str">
        <x:v>DEF-076</x:v>
      </x:c>
      <x:c r="Q173" s="42" t="str">
        <x:v>root direct review and bounded agent work</x:v>
      </x:c>
      <x:c r="R173" s="52" t="n">
        <x:v>46270.49245868056</x:v>
      </x:c>
      <x:c r="S173" s="42" t="str">
        <x:v>A bounded run verdict is not an overall feature or release pass. Current motion, accessibility and full regression gates remain open.</x:v>
      </x:c>
    </x:row>
    <x:row r="174">
      <x:c r="A174" s="42" t="str">
        <x:v>TR-DARK-CONTROL-CONTRAST-RED</x:v>
      </x:c>
      <x:c r="B174" s="42" t="str">
        <x:v>UX-003, MEN-004, MEN-006, PRF-023</x:v>
      </x:c>
      <x:c r="C174" s="42" t="str">
        <x:v>flat-feedback-final isolated dark demo</x:v>
      </x:c>
      <x:c r="D174" s="42" t="str">
        <x:v>macOS 26.6, actual active 620 by 252 screenshot converted to sRGB for measurement</x:v>
      </x:c>
      <x:c r="E174" s="42" t="str"/>
      <x:c r="F174" s="42" t="str">
        <x:v>Inspect qa-final-current-dock-picker-dark.png. Read interior action-background pixels at (412,61), (435,63) and (540,63), outside text and pointer halo. Compute the best possible contrast using pure white as foreground.</x:v>
      </x:c>
      <x:c r="G174" s="42" t="str">
        <x:v>Small action labels maintain at least 4.5:1 contrast while matching flat surfaces.</x:v>
      </x:c>
      <x:c r="H174" s="42" t="str">
        <x:v>All sampled backgrounds have sRGB channel value0.63583344. Even pure white has a contrast ratio below2.6:1 against that background. Current dark controlColor backing is too light.</x:v>
      </x:c>
      <x:c r="I174" s="42" t="str">
        <x:v>Not run</x:v>
      </x:c>
      <x:c r="J174" s="42" t="str">
        <x:v>Fail</x:v>
      </x:c>
      <x:c r="K174" s="42" t="str">
        <x:v>Not run</x:v>
      </x:c>
      <x:c r="L174" s="42" t="str">
        <x:v>Fail</x:v>
      </x:c>
      <x:c r="M174" s="42" t="str">
        <x:v>artifacts/reference-editor/qa-final-current-dock-picker-dark.png</x:v>
      </x:c>
      <x:c r="N174" s="42" t="str"/>
      <x:c r="O174" s="42" t="str"/>
      <x:c r="P174" s="42" t="str">
        <x:v>DEF-088</x:v>
      </x:c>
      <x:c r="Q174" s="42" t="str">
        <x:v>root</x:v>
      </x:c>
      <x:c r="R174" s="52" t="n">
        <x:v>46270.50292162037</x:v>
      </x:c>
      <x:c r="S174" s="42" t="str">
        <x:v>Recorded before source correction. Earlier bounded visual captures did not include this contrast measurement.</x:v>
      </x:c>
    </x:row>
    <x:row r="175">
      <x:c r="A175" s="42" t="str">
        <x:v>TR-MENU-LIFECYCLE-RETENTION-RED</x:v>
      </x:c>
      <x:c r="B175" s="42" t="str">
        <x:v>MEN-003, MEN-007</x:v>
      </x:c>
      <x:c r="C175" s="42" t="str">
        <x:v>menu-lifecycle isolated hosted build</x:v>
      </x:c>
      <x:c r="D175" s="42" t="str">
        <x:v>macOS 26.6, separate native coordinator in demo host</x:v>
      </x:c>
      <x:c r="E175" s="42" t="str"/>
      <x:c r="F175" s="42" t="str">
        <x:v>Create a native status item through the injected factory. Verify reuse, removal and recreation. Render both menu assets into transparent bitmaps.</x:v>
      </x:c>
      <x:c r="G175" s="42" t="str">
        <x:v>Test lifecycle without assuming native deallocation timing or visible menu-bar placement.</x:v>
      </x:c>
      <x:c r="H175" s="42" t="str">
        <x:v>89 declared tests execute. The lifecycle test records three issues because NSSceneStatusItem remains alive after removal and an autorelease pool. All other tests pass. Both asset alpha cases contain painted and transparent pixels. The weak-nil timing assertion is unsupported; no product retention bug is established.</x:v>
      </x:c>
      <x:c r="I175" s="42" t="str">
        <x:v>Blocked</x:v>
      </x:c>
      <x:c r="J175" s="42" t="str">
        <x:v>Not run</x:v>
      </x:c>
      <x:c r="K175" s="42" t="str">
        <x:v>Not run</x:v>
      </x:c>
      <x:c r="L175" s="42" t="str">
        <x:v>Not run</x:v>
      </x:c>
      <x:c r="M175" s="42" t="str"/>
      <x:c r="N175" s="42" t="str">
        <x:v>artifacts/reference-editor/menu-lifecycle-hosted.log</x:v>
      </x:c>
      <x:c r="O175" s="42" t="str"/>
      <x:c r="P175" s="42" t="str">
        <x:v>DEF-089</x:v>
      </x:c>
      <x:c r="Q175" s="42" t="str">
        <x:v>root</x:v>
      </x:c>
      <x:c r="R175" s="52" t="n">
        <x:v>46270.50515759259</x:v>
      </x:c>
      <x:c r="S175" s="42" t="str">
        <x:v>The test must verify the removal command and recreation identity instead of requiring immediate AppKit deallocation.</x:v>
      </x:c>
    </x:row>
    <x:row r="176">
      <x:c r="A176" s="42" t="str">
        <x:v>TR-DARK-CONTROL-CONTRAST-GREEN-STATUS-RED</x:v>
      </x:c>
      <x:c r="B176" s="42" t="str">
        <x:v>UX-003, MEN-004, MEN-006, PRF-023</x:v>
      </x:c>
      <x:c r="C176" s="42" t="str">
        <x:v>dark-control-contrast candidate</x:v>
      </x:c>
      <x:c r="D176" s="42" t="str">
        <x:v>macOS 26.6, active in-memory demo above bright Finder</x:v>
      </x:c>
      <x:c r="E176" s="42" t="str"/>
      <x:c r="F176" s="42" t="str">
        <x:v>Inspect the active dark editor after replacing only the dark control fill with semantic controlBackgroundColor. Convert captured pixel samples to sRGB and measure action, picker and status contrast.</x:v>
      </x:c>
      <x:c r="G176" s="42" t="str">
        <x:v>Flat controls remain equal and all small labels stay readable above a bright background.</x:v>
      </x:c>
      <x:c r="H176" s="42" t="str">
        <x:v>Action measured 9.30:1 and picker 8.67:1 using brightest text-core samples. Header background is sRGB 0.544423 and brightest status text 0.987564, only 3.32:1. The control correction passes this bounded check, but window status text fails. Inactive dark capture is darker and cannot substitute for active-over-bright testing.</x:v>
      </x:c>
      <x:c r="I176" s="42" t="str">
        <x:v>Pass</x:v>
      </x:c>
      <x:c r="J176" s="42" t="str">
        <x:v>Fail</x:v>
      </x:c>
      <x:c r="K176" s="42" t="str">
        <x:v>Not run</x:v>
      </x:c>
      <x:c r="L176" s="42" t="str">
        <x:v>Fail</x:v>
      </x:c>
      <x:c r="M176" s="42" t="str">
        <x:v>artifacts/reference-editor/qa-final-current-dock-picker-dark.png</x:v>
      </x:c>
      <x:c r="N176" s="42" t="str">
        <x:v>artifacts/reference-editor/qa-dark-control-contrast-active.png</x:v>
      </x:c>
      <x:c r="O176" s="42" t="str"/>
      <x:c r="P176" s="42" t="str">
        <x:v>DEF-088, DEF-090</x:v>
      </x:c>
      <x:c r="Q176" s="42" t="str">
        <x:v>root</x:v>
      </x:c>
      <x:c r="R176" s="52" t="n">
        <x:v>46270.51047768519</x:v>
      </x:c>
      <x:c r="S176" s="42" t="str">
        <x:v>No current light regression, Increased Contrast or Reduced Transparency pass is implied.</x:v>
      </x:c>
    </x:row>
    <x:row r="177">
      <x:c r="A177" s="42" t="str">
        <x:v>TR-FINAL-CORE-TOOLS-REGRESSION</x:v>
      </x:c>
      <x:c r="B177" s="42" t="str">
        <x:v>PRF-020, PRF-027, PRF-032, PRF-034, MOT-005</x:v>
      </x:c>
      <x:c r="C177" s="42" t="str">
        <x:v>source 2026-09-05</x:v>
      </x:c>
      <x:c r="D177" s="42" t="str">
        <x:v>local automated regression; no Dock writes</x:v>
      </x:c>
      <x:c r="E177" s="42" t="str"/>
      <x:c r="F177" s="42" t="str">
        <x:v>Run the full Swift package suite and both FeatureLedgerTests.mjs and ReferenceVideoTests.mjs.</x:v>
      </x:c>
      <x:c r="G177" s="42" t="str">
        <x:v>Core state and validation contracts pass. Ledger and frame-coverage safeguards pass.</x:v>
      </x:c>
      <x:c r="H177" s="42" t="str">
        <x:v>76 Swift Testing cases and 11 XCTest cases pass. All 20 ledger/video-tool tests pass. These are not live Dock or GUI-motion checks.</x:v>
      </x:c>
      <x:c r="I177" s="42" t="str">
        <x:v>Pass</x:v>
      </x:c>
      <x:c r="J177" s="42" t="str">
        <x:v>Not run</x:v>
      </x:c>
      <x:c r="K177" s="42" t="str">
        <x:v>Not run</x:v>
      </x:c>
      <x:c r="L177" s="42" t="str">
        <x:v>Not run</x:v>
      </x:c>
      <x:c r="M177" s="42" t="str"/>
      <x:c r="N177" s="42" t="str">
        <x:v>artifacts/reference-editor/flat-feedback-core-regression.log; artifacts/ledger/flat-feedback-tools-regression.log</x:v>
      </x:c>
      <x:c r="O177" s="42" t="str"/>
      <x:c r="P177" s="42" t="str"/>
      <x:c r="Q177" s="42" t="str">
        <x:v>root</x:v>
      </x:c>
      <x:c r="R177" s="52" t="n">
        <x:v>46270.74877733796</x:v>
      </x:c>
      <x:c r="S177" s="42" t="str"/>
    </x:row>
    <x:row r="178">
      <x:c r="A178" s="42" t="str">
        <x:v>TR-FINAL-KEYBOARD-GROUP-BOUNDED</x:v>
      </x:c>
      <x:c r="B178" s="42" t="str">
        <x:v>PRF-020, PRF-021, PRF-034, REL-003, UX-001</x:v>
      </x:c>
      <x:c r="C178" s="42" t="str">
        <x:v>flat-feedback-final</x:v>
      </x:c>
      <x:c r="D178" s="42" t="str">
        <x:v>active light isolated demo, 620 by 252</x:v>
      </x:c>
      <x:c r="E178" s="42" t="str"/>
      <x:c r="F178" s="42" t="str">
        <x:v>Rename Reading to current dock, apply in memory, add a regular spacer, select Books and extend selection to Notes with Shift-Right, move with command-option-Right, repeat at boundary, and move back with command-option-Left.</x:v>
      </x:c>
      <x:c r="G178" s="42" t="str">
        <x:v>Full name fits. Selected apps move as one stable ordered group, boundary is a no-op, reverse move restores order, and the edited layout stays saved but not applied.</x:v>
      </x:c>
      <x:c r="H178" s="42" t="str">
        <x:v>AX and screenshots show Books and Notes selected. Order changes from Books, Notes, spacer to spacer, Books, Notes. Boundary repeat changes nothing. Reverse restores the original order. The active indicator remains with current dock and saved, not applied persists.</x:v>
      </x:c>
      <x:c r="I178" s="42" t="str">
        <x:v>Pass</x:v>
      </x:c>
      <x:c r="J178" s="42" t="str">
        <x:v>Pass</x:v>
      </x:c>
      <x:c r="K178" s="42" t="str">
        <x:v>Not run</x:v>
      </x:c>
      <x:c r="L178" s="42" t="str">
        <x:v>Pass</x:v>
      </x:c>
      <x:c r="M178" s="42" t="str">
        <x:v>artifacts/reference-editor/qa-final-range-selection-light.png</x:v>
      </x:c>
      <x:c r="N178" s="42" t="str">
        <x:v>artifacts/reference-editor/qa-final-group-keyboard-light.png; artifacts/reference-editor/qa-final-group-keyboard-restored-light.png; artifacts/reference-editor/qa-final-spacer-insert-light.png</x:v>
      </x:c>
      <x:c r="O178" s="42" t="str"/>
      <x:c r="P178" s="42" t="str"/>
      <x:c r="Q178" s="42" t="str">
        <x:v>root</x:v>
      </x:c>
      <x:c r="R178" s="52" t="n">
        <x:v>46270.748777361114</x:v>
      </x:c>
      <x:c r="S178" s="42" t="str">
        <x:v>Accessibility verdict is keyboard and AX only, not VoiceOver or complete accessibility. No pointer or animation timing proof.</x:v>
      </x:c>
    </x:row>
    <x:row r="179">
      <x:c r="A179" s="42" t="str">
        <x:v>TR-MENU-LIFECYCLE-GREEN</x:v>
      </x:c>
      <x:c r="B179" s="42" t="str">
        <x:v>MEN-003, MEN-007, UX-002</x:v>
      </x:c>
      <x:c r="C179" s="42" t="str">
        <x:v>contrast-lifecycle-final, macOS 26.6 isolated demo</x:v>
      </x:c>
      <x:c r="D179" s="42" t="str">
        <x:v>separate native coordinator in isolated hosted app</x:v>
      </x:c>
      <x:c r="E179" s="42" t="str"/>
      <x:c r="F179" s="42" t="str">
        <x:v>Replace unsupported native deallocation assertions with exact creation/removal callback observations. Run the complete hosted suite with both alpha-render cases.</x:v>
      </x:c>
      <x:c r="G179" s="42" t="str">
        <x:v>Create once, reuse, remove once across repeated hides, then recreate a distinct item. Native asset pixels include paint and transparency.</x:v>
      </x:c>
      <x:c r="H179" s="42" t="str">
        <x:v>89 declared tests in seven suites pass. Lifecycle creation, retained use, menu updates, exact removal, repeated-hide idempotence and recreation pass. Both template assets render opaque artwork and transparent pixels. Actual system menu-bar placement is not established.</x:v>
      </x:c>
      <x:c r="I179" s="42" t="str">
        <x:v>Pass</x:v>
      </x:c>
      <x:c r="J179" s="42" t="str">
        <x:v>Not run</x:v>
      </x:c>
      <x:c r="K179" s="42" t="str">
        <x:v>Not run</x:v>
      </x:c>
      <x:c r="L179" s="42" t="str">
        <x:v>Not run</x:v>
      </x:c>
      <x:c r="M179" s="42" t="str">
        <x:v>artifacts/reference-editor/menu-lifecycle-hosted.log</x:v>
      </x:c>
      <x:c r="N179" s="42" t="str">
        <x:v>artifacts/reference-editor/contrast-lifecycle-final-hosted.log; artifacts/reference-editor/contrast-lifecycle-final-hosted.xcresult</x:v>
      </x:c>
      <x:c r="O179" s="42" t="str"/>
      <x:c r="P179" s="42" t="str">
        <x:v>DEF-089</x:v>
      </x:c>
      <x:c r="Q179" s="42" t="str">
        <x:v>root</x:v>
      </x:c>
      <x:c r="R179" s="52" t="n">
        <x:v>46270.74877737268</x:v>
      </x:c>
      <x:c r="S179" s="42" t="str">
        <x:v>Public native dependencies preserve production behavior. No forced visibility, delays, user preference changes or on-screen claims.</x:v>
      </x:c>
    </x:row>
    <x:row r="180">
      <x:c r="A180" s="42" t="str">
        <x:v>TR-DARK-WINDOW-MATERIAL-PENDING</x:v>
      </x:c>
      <x:c r="B180" s="42" t="str">
        <x:v>UX-003, MEN-004, MEN-006, REL-003</x:v>
      </x:c>
      <x:c r="C180" s="42" t="str">
        <x:v>dark-ultrathick-material candidate</x:v>
      </x:c>
      <x:c r="D180" s="42" t="str">
        <x:v>active dark demo over bright Finder, then Mac locked</x:v>
      </x:c>
      <x:c r="E180" s="42" t="str"/>
      <x:c r="F180" s="42" t="str">
        <x:v>Review the shared dark thick-material candidate. Measure status contrast. Build the next native ultraThick candidate without changing light material or geometry.</x:v>
      </x:c>
      <x:c r="G180" s="42" t="str">
        <x:v>Status reaches at least 4.5:1 and keeps the reference layout with ordinary native translucency.</x:v>
      </x:c>
      <x:c r="H180" s="42" t="str">
        <x:v>Thick material lowers captured header background to sRGB 0.463888, but brightest status text 0.886197 yields 3.49:1. That candidate does not pass. UltraThick compiles successfully. The Mac locked before its actual capture; the running isolated QA still contains the prior thick candidate.</x:v>
      </x:c>
      <x:c r="I180" s="42" t="str">
        <x:v>Not run</x:v>
      </x:c>
      <x:c r="J180" s="42" t="str">
        <x:v>Blocked</x:v>
      </x:c>
      <x:c r="K180" s="42" t="str">
        <x:v>Blocked</x:v>
      </x:c>
      <x:c r="L180" s="42" t="str">
        <x:v>Blocked</x:v>
      </x:c>
      <x:c r="M180" s="42" t="str">
        <x:v>artifacts/reference-editor/qa-dark-control-contrast-active.png</x:v>
      </x:c>
      <x:c r="N180" s="42" t="str">
        <x:v>artifacts/reference-editor/qa-dark-thick-material-active.png; artifacts/reference-editor/dark-ultrathick-material-build.log</x:v>
      </x:c>
      <x:c r="O180" s="42" t="str"/>
      <x:c r="P180" s="42" t="str">
        <x:v>DEF-090</x:v>
      </x:c>
      <x:c r="Q180" s="42" t="str">
        <x:v>root</x:v>
      </x:c>
      <x:c r="R180" s="52" t="n">
        <x:v>46270.74877738426</x:v>
      </x:c>
      <x:c r="S180" s="42" t="str">
        <x:v>No GUI actions were attempted after the lock report. Do not claim the ultraThick candidate passes or is installed in the QA copy.</x:v>
      </x:c>
    </x:row>
    <x:row r="181">
      <x:c r="A181" s="42" t="str">
        <x:v>TR-ULTRATHICK-STATUS-RED</x:v>
      </x:c>
      <x:c r="B181" s="42" t="str">
        <x:v>UX-003, REL-003</x:v>
      </x:c>
      <x:c r="C181" s="42" t="str">
        <x:v>dark-ultrathick-material</x:v>
      </x:c>
      <x:c r="D181" s="42" t="str">
        <x:v>focused dark isolated demo over bright Finder, 620 by 252</x:v>
      </x:c>
      <x:c r="E181" s="42" t="str"/>
      <x:c r="F181" s="42" t="str">
        <x:v>Refresh the stopped isolated QA copy, launch in-memory dark demo, focus the editor and capture its actual window. Sample the small status and adjacent header background in sRGB.</x:v>
      </x:c>
      <x:c r="G181" s="42" t="str">
        <x:v>Small status text reaches at least 4.5:1 against the rendered background.</x:v>
      </x:c>
      <x:c r="H181" s="42" t="str">
        <x:v>Background red channel is 0.38309437. Brightest sampled status pixel is approximately 0.8537765 in each channel. Measured contrast is 4.371894:1, still below the target. Flat controls and fixed geometry remain visible. The earlier capture labeled active had gray traffic lights and is not used for the active-state measurement.</x:v>
      </x:c>
      <x:c r="I181" s="42" t="str">
        <x:v>Not run</x:v>
      </x:c>
      <x:c r="J181" s="42" t="str">
        <x:v>Fail</x:v>
      </x:c>
      <x:c r="K181" s="42" t="str">
        <x:v>Not run</x:v>
      </x:c>
      <x:c r="L181" s="42" t="str">
        <x:v>Fail</x:v>
      </x:c>
      <x:c r="M181" s="42" t="str"/>
      <x:c r="N181" s="42" t="str">
        <x:v>artifacts/reference-editor/qa-dark-ultrathick-material-focused.png</x:v>
      </x:c>
      <x:c r="O181" s="42" t="str"/>
      <x:c r="P181" s="42" t="str">
        <x:v>DEF-090</x:v>
      </x:c>
      <x:c r="Q181" s="42" t="str">
        <x:v>root</x:v>
      </x:c>
      <x:c r="R181" s="52" t="n">
        <x:v>46270.850314131945</x:v>
      </x:c>
      <x:c r="S181" s="42" t="str"/>
    </x:row>
    <x:row r="182">
      <x:c r="A182" s="42" t="str">
        <x:v>TR-STATUS-DARK-GREEN-LIGHT-RED</x:v>
      </x:c>
      <x:c r="B182" s="42" t="str">
        <x:v>UX-003, REL-003</x:v>
      </x:c>
      <x:c r="C182" s="42" t="str">
        <x:v>dark-status-foreground</x:v>
      </x:c>
      <x:c r="D182" s="42" t="str">
        <x:v>focused isolated demo in light and dark, 620 by 252</x:v>
      </x:c>
      <x:c r="E182" s="42" t="str"/>
      <x:c r="F182" s="42" t="str">
        <x:v>Build and run all hosted tests. Capture focused dark primary status, then relaunch the same fixture in light appearance and measure its unchanged secondary status.</x:v>
      </x:c>
      <x:c r="G182" s="42" t="str">
        <x:v>Small status text reaches at least 4.5:1 in both actual appearances.</x:v>
      </x:c>
      <x:c r="H182" s="42" t="str">
        <x:v>89 hosted tests pass. Dark primary status measures 5.564541:1 against the same bright-backed material. Light secondary status measures 3.461780:1, from background 0.918249 and darkest sampled text 0.487300. The light failure has the same weak secondary-status cause. Use primary semantic foreground for the status in both themes, then retest.</x:v>
      </x:c>
      <x:c r="I182" s="42" t="str">
        <x:v>Pass</x:v>
      </x:c>
      <x:c r="J182" s="42" t="str">
        <x:v>Fail</x:v>
      </x:c>
      <x:c r="K182" s="42" t="str">
        <x:v>Not run</x:v>
      </x:c>
      <x:c r="L182" s="42" t="str">
        <x:v>Fail</x:v>
      </x:c>
      <x:c r="M182" s="42" t="str"/>
      <x:c r="N182" s="42" t="str">
        <x:v>artifacts/reference-editor/qa-dark-status-primary-focused.png; artifacts/reference-editor/qa-light-status-material-regression.png; artifacts/reference-editor/dark-status-foreground-hosted.log</x:v>
      </x:c>
      <x:c r="O182" s="42" t="str"/>
      <x:c r="P182" s="42" t="str">
        <x:v>DEF-090</x:v>
      </x:c>
      <x:c r="Q182" s="42" t="str">
        <x:v>root</x:v>
      </x:c>
      <x:c r="R182" s="52" t="n">
        <x:v>46270.85282112269</x:v>
      </x:c>
      <x:c r="S182" s="42" t="str"/>
    </x:row>
    <x:row r="183">
      <x:c r="A183" s="42" t="str">
        <x:v>TR-STATUS-FOREGROUND-FINAL</x:v>
      </x:c>
      <x:c r="B183" s="42" t="str">
        <x:v>UX-003, REL-003, PRF-027, MEN-004, MEN-006</x:v>
      </x:c>
      <x:c r="C183" s="42" t="str">
        <x:v>status-foreground-final</x:v>
      </x:c>
      <x:c r="D183" s="42" t="str">
        <x:v>isolated in-memory demo, focused light and dark, 620 by 252</x:v>
      </x:c>
      <x:c r="E183" s="42" t="str"/>
      <x:c r="F183" s="42" t="str">
        <x:v>Build, run all hosted tests, capture both focused appearances, measure status against the actual header, activate Reading in memory, and insert a small spacer through edit dock.</x:v>
      </x:c>
      <x:c r="G183" s="42" t="str">
        <x:v>Status contrast exceeds 4.5:1 in both captures. Flat controls and fixed geometry remain. Adding a spacer saves without advancing the applied layout.</x:v>
      </x:c>
      <x:c r="H183" s="42" t="str">
        <x:v>89 tests in seven suites pass. Final light text-core sample is 5.724973:1; final dark sample is 5.564541:1. Actual AX and the pending screenshot show current, 3 items, saved, not applied. The active checkmark remains and the small spacer appears after Notes. Both action controls retain equal flat surfaces. No real Dock writes or current motion recording occurred.</x:v>
      </x:c>
      <x:c r="I183" s="42" t="str">
        <x:v>Pass</x:v>
      </x:c>
      <x:c r="J183" s="42" t="str">
        <x:v>Pass</x:v>
      </x:c>
      <x:c r="K183" s="42" t="str">
        <x:v>Not run</x:v>
      </x:c>
      <x:c r="L183" s="42" t="str">
        <x:v>Pass</x:v>
      </x:c>
      <x:c r="M183" s="42" t="str">
        <x:v>artifacts/reference-editor/qa-light-status-material-regression.png; artifacts/reference-editor/qa-dark-ultrathick-material-focused.png</x:v>
      </x:c>
      <x:c r="N183" s="42" t="str">
        <x:v>artifacts/reference-editor/qa-light-status-primary-final.png; artifacts/reference-editor/qa-dark-status-primary-final.png; artifacts/reference-editor/qa-dark-pending-status-final.png; artifacts/reference-editor/status-foreground-final-hosted.log</x:v>
      </x:c>
      <x:c r="O183" s="42" t="str"/>
      <x:c r="P183" s="42" t="str">
        <x:v>DEF-090</x:v>
      </x:c>
      <x:c r="Q183" s="42" t="str">
        <x:v>root</x:v>
      </x:c>
      <x:c r="R183" s="52" t="n">
        <x:v>46270.85776429398</x:v>
      </x:c>
      <x:c r="S183" s="42" t="str">
        <x:v>Verdicts cover the observed fixed-window states, AX content and sampled text contrast only. They do not certify all backgrounds, VoiceOver, Increased Contrast, Reduced Transparency or motion. SystemUIServer capture timed out, so actual menu-bar placement remains unverified.</x:v>
      </x:c>
    </x:row>
    <x:row r="184">
      <x:c r="A184" s="42" t="str">
        <x:v>TR-REFERENCE-751-870</x:v>
      </x:c>
      <x:c r="B184" s="42" t="str">
        <x:v>UX-003, MOT-005, PRF-034</x:v>
      </x:c>
      <x:c r="C184" s="42" t="str">
        <x:v>original reference and current annotation source</x:v>
      </x:c>
      <x:c r="D184" s="42" t="str">
        <x:v>file-only individual full-resolution review</x:v>
      </x:c>
      <x:c r="E184" s="42" t="str"/>
      <x:c r="F184" s="42" t="str">
        <x:v>Inspect original frames 751 through 870 individually, review every observation, inspect frames 800 and 856 directly as root, verify all hashes and timestamps, merge canonical annotations, and run coverage validation.</x:v>
      </x:c>
      <x:c r="G184" s="42" t="str">
        <x:v>Count only individually inspected frames and retain unmatched-state limits.</x:v>
      </x:c>
      <x:c r="H184" s="42" t="str">
        <x:v>All 120 frame hashes and original timestamps match extraction and source metadata. Coverage now reports 871 reviewed and 1503 unreviewed frames. This range documents spacer removal, status transition, editor contraction and profile-menu opening. Every new outcome is notComparable because no matched current action recording exists. Coverage exits 1 because the complete review is unfinished.</x:v>
      </x:c>
      <x:c r="I184" s="42" t="str">
        <x:v>Pass</x:v>
      </x:c>
      <x:c r="J184" s="42" t="str">
        <x:v>Blocked</x:v>
      </x:c>
      <x:c r="K184" s="42" t="str">
        <x:v>Blocked</x:v>
      </x:c>
      <x:c r="L184" s="42" t="str">
        <x:v>Not run</x:v>
      </x:c>
      <x:c r="M184" s="42" t="str"/>
      <x:c r="N184" s="42" t="str">
        <x:v>artifacts/video-reference/reviews/reference-frames-000751-000870.json; artifacts/video-reference/annotations.json; artifacts/video-reference/coverage.json</x:v>
      </x:c>
      <x:c r="O184" s="42" t="str"/>
      <x:c r="P184" s="42" t="str"/>
      <x:c r="Q184" s="42" t="str">
        <x:v>root and drag_flow_grounding</x:v>
      </x:c>
      <x:c r="R184" s="52" t="n">
        <x:v>46270.85776439815</x:v>
      </x:c>
      <x:c r="S184" s="42" t="str"/>
    </x:row>
    <x:row r="185">
      <x:c r="A185" s="42" t="str">
        <x:v>TR-SHARED-MENU-RUNTIME</x:v>
      </x:c>
      <x:c r="B185" s="42" t="str">
        <x:v>MEN-001, MEN-007, PRF-027, SET-001, SET-004, UX-002</x:v>
      </x:c>
      <x:c r="C185" s="42" t="str">
        <x:v>status-foreground-final production source</x:v>
      </x:c>
      <x:c r="D185" s="42" t="str">
        <x:v>isolated in-memory demo, light success and dark window commands</x:v>
      </x:c>
      <x:c r="E185" s="42" t="str"/>
      <x:c r="F185" s="42" t="str">
        <x:v>Use the actual application docks menu to apply games while Reading is selected. Inspect the picker to confirm games is current. Select games, insert a small spacer and apply the current games entry again. From the shared menu open settings, scroll to about, return with manage docks and quit.</x:v>
      </x:c>
      <x:c r="G185" s="42" t="str">
        <x:v>Menu activation preserves editor selection. The current entry applies pending saved contents. Settings and management commands open the expected windows. Quit terminates the test copy.</x:v>
      </x:c>
      <x:c r="H185" s="42" t="str">
        <x:v>Reading stayed selected after games activated; the picker exposed games as current. Games showed saved, not applied after insertion, then current with 3 items after its menu entry was invoked again. Settings opened as one scrolling page, with menu-bar visibility on and the full-white mascot in about. Manage returned to work with its pending 6-item edit. Quit terminated the exact QA process. Open menu captures had no screenshot, so menu row contents are AX evidence only.</x:v>
      </x:c>
      <x:c r="I185" s="42" t="str">
        <x:v>Pass</x:v>
      </x:c>
      <x:c r="J185" s="42" t="str">
        <x:v>Pass</x:v>
      </x:c>
      <x:c r="K185" s="42" t="str">
        <x:v>Not run</x:v>
      </x:c>
      <x:c r="L185" s="42" t="str">
        <x:v>Not run</x:v>
      </x:c>
      <x:c r="M185" s="42" t="str"/>
      <x:c r="N185" s="42" t="str">
        <x:v>artifacts/reference-editor/qa-shared-menu-selection-preserved.png; artifacts/reference-editor/qa-shared-menu-active-pending.png; artifacts/reference-editor/qa-shared-menu-reapplied.png; artifacts/reference-editor/qa-shared-menu-settings.png; artifacts/reference-editor/qa-shared-menu-settings-about.png; artifacts/reference-editor/qa-shared-menu-manage-return.png</x:v>
      </x:c>
      <x:c r="O185" s="42" t="str"/>
      <x:c r="P185" s="42" t="str"/>
      <x:c r="Q185" s="42" t="str">
        <x:v>root</x:v>
      </x:c>
      <x:c r="R185" s="52" t="n">
        <x:v>46270.86948753472</x:v>
      </x:c>
      <x:c r="S185" s="42" t="str">
        <x:v>Bounded application-menu and window checks only. Same source populates the status-item menu, but its actual location and interaction are not established. Demo bypasses real Dock application and missing-app resolution. No motion or real Dock preservation pass.</x:v>
      </x:c>
    </x:row>
    <x:row r="186">
      <x:c r="A186" s="42" t="str">
        <x:v>TR-RECOVERY-INPUT-INTERRUPTED</x:v>
      </x:c>
      <x:c r="B186" s="42" t="str">
        <x:v>REL-001, REL-003, PRF-027</x:v>
      </x:c>
      <x:c r="C186" s="42" t="str">
        <x:v>status-foreground-final</x:v>
      </x:c>
      <x:c r="D186" s="42" t="str">
        <x:v>dark isolated demo with simulated games activation failure</x:v>
      </x:c>
      <x:c r="E186" s="42" t="str"/>
      <x:c r="F186" s="42" t="str">
        <x:v>Add a small spacer to active work, activate games from the application menu and attempt to dismiss the resulting alert.</x:v>
      </x:c>
      <x:c r="G186" s="42" t="str">
        <x:v>The failure retains active work, its pending stored edit and the prior applied baseline.</x:v>
      </x:c>
      <x:c r="H186" s="42" t="str">
        <x:v>Before failure, work showed current, 5 items, saved, not applied. The alert was readable and stated that the previous dock remains active. The dismissal call returned a user-changed warning. Fresh state retained 5 items but lacked pending text and showed a newly selected spacer. The interruption prevents attributing that state change to app recovery. One QA process was running.</x:v>
      </x:c>
      <x:c r="I186" s="42" t="str">
        <x:v>Blocked</x:v>
      </x:c>
      <x:c r="J186" s="42" t="str">
        <x:v>Blocked</x:v>
      </x:c>
      <x:c r="K186" s="42" t="str">
        <x:v>Blocked</x:v>
      </x:c>
      <x:c r="L186" s="42" t="str">
        <x:v>Not run</x:v>
      </x:c>
      <x:c r="M186" s="42" t="str">
        <x:v>artifacts/reference-editor/qa-shared-menu-failure-before.png</x:v>
      </x:c>
      <x:c r="N186" s="42" t="str">
        <x:v>artifacts/reference-editor/qa-shared-menu-failure-alert.png; artifacts/reference-editor/qa-shared-menu-failure-interrupted-state.png</x:v>
      </x:c>
      <x:c r="O186" s="42" t="str"/>
      <x:c r="P186" s="42" t="str"/>
      <x:c r="Q186" s="42" t="str">
        <x:v>root</x:v>
      </x:c>
      <x:c r="R186" s="52" t="n">
        <x:v>46270.86948758102</x:v>
      </x:c>
      <x:c r="S186" s="42" t="str">
        <x:v>Excluded interrupted interval. No product defect is inferred without reproduction. Followed by a controlled repeat and two new model regressions.</x:v>
      </x:c>
    </x:row>
    <x:row r="187">
      <x:c r="A187" s="42" t="str">
        <x:v>TR-RECOVERY-DISMISSAL-REGRESSION</x:v>
      </x:c>
      <x:c r="B187" s="42" t="str">
        <x:v>REL-001, REL-003, PRF-027, PRF-032</x:v>
      </x:c>
      <x:c r="C187" s="42" t="str">
        <x:v>menu-recovery-regression</x:v>
      </x:c>
      <x:c r="D187" s="42" t="str">
        <x:v>controlled dark demo repeat and isolated hosted model fixtures</x:v>
      </x:c>
      <x:c r="E187" s="42" t="str"/>
      <x:c r="F187" s="42" t="str">
        <x:v>Add another small spacer to work, invoke failing games from the menu, read the fresh alert and dismiss it. Add exact demo and injected reload-failure regressions. Build and run the full hosted suite.</x:v>
      </x:c>
      <x:c r="G187" s="42" t="str">
        <x:v>Pending edits, selection and the exact previous active baseline survive failure and dismissal. Injected rollback restores the fixture snapshot and preserves pending edits on disk.</x:v>
      </x:c>
      <x:c r="H187" s="42" t="str">
        <x:v>The uninterrupted live repeat retained current work, all 6 items and saved, not applied after dismissal. Both new model tests pass. The injected reload test observed two writes and two reload attempts, restored the original fixture layout and retained the stored pending edit and baseline. All 91 declared tests in seven suites pass. Production recovery code was unchanged.</x:v>
      </x:c>
      <x:c r="I187" s="42" t="str">
        <x:v>Pass</x:v>
      </x:c>
      <x:c r="J187" s="42" t="str">
        <x:v>Pass</x:v>
      </x:c>
      <x:c r="K187" s="42" t="str">
        <x:v>Not run</x:v>
      </x:c>
      <x:c r="L187" s="42" t="str">
        <x:v>Not run</x:v>
      </x:c>
      <x:c r="M187" s="42" t="str">
        <x:v>artifacts/reference-editor/qa-recovery-repeat-before.png</x:v>
      </x:c>
      <x:c r="N187" s="42" t="str">
        <x:v>artifacts/reference-editor/qa-recovery-repeat-alert.png; artifacts/reference-editor/qa-recovery-repeat-after.png; artifacts/reference-editor/menu-recovery-regression-hosted.log</x:v>
      </x:c>
      <x:c r="O187" s="42" t="str"/>
      <x:c r="P187" s="42" t="str"/>
      <x:c r="Q187" s="42" t="str">
        <x:v>root and reference_editor</x:v>
      </x:c>
      <x:c r="R187" s="52" t="n">
        <x:v>46270.86948761574</x:v>
      </x:c>
      <x:c r="S187" s="42" t="str">
        <x:v>The live failure is explicitly simulated. The reload test uses injected preferences and a fake reloader, not the real Dock. Actual rollback and complete release gates remain open.</x:v>
      </x:c>
    </x:row>
    <x:row r="188">
      <x:c r="A188" s="42" t="str">
        <x:v>TR-REFERENCE-871-990</x:v>
      </x:c>
      <x:c r="B188" s="42" t="str">
        <x:v>UX-003, MOT-005, PRF-034</x:v>
      </x:c>
      <x:c r="C188" s="42" t="str">
        <x:v>original reference recording, unchanged</x:v>
      </x:c>
      <x:c r="D188" s="42" t="str">
        <x:v>120 original 2160 by 2160 frames, original timestamps</x:v>
      </x:c>
      <x:c r="E188" s="42" t="str"/>
      <x:c r="F188" s="42" t="str">
        <x:v>Inspect frames 871 through 990 individually. Review all observations, directly inspect original frames 879 and 989, and verify every image hash and original timestamp against the extraction and manifest.</x:v>
      </x:c>
      <x:c r="G188" s="42" t="str">
        <x:v>Preserve source evidence and distinguish visible interaction states from inferred events. Do not claim parity without an equivalent current recording.</x:v>
      </x:c>
      <x:c r="H188" s="42" t="str">
        <x:v>All 120 frame hashes and timestamps match. The range shows Work menu highlights, menu dismissal and Personal entering the editor. The final status is still transitioning. Canonical coverage is 991 reviewed frames and 1383 unreviewed frames. These 120 states remain notComparable.</x:v>
      </x:c>
      <x:c r="I188" s="42" t="str">
        <x:v>Not run</x:v>
      </x:c>
      <x:c r="J188" s="42" t="str">
        <x:v>Not run</x:v>
      </x:c>
      <x:c r="K188" s="42" t="str">
        <x:v>Not run</x:v>
      </x:c>
      <x:c r="L188" s="42" t="str">
        <x:v>Not run</x:v>
      </x:c>
      <x:c r="M188" s="42" t="str"/>
      <x:c r="N188" s="42" t="str">
        <x:v>artifacts/video-reference/reviews/reference-frames-000871-000990.json; artifacts/video-reference/coverage.json</x:v>
      </x:c>
      <x:c r="O188" s="42" t="str"/>
      <x:c r="P188" s="42" t="str"/>
      <x:c r="Q188" s="42" t="str">
        <x:v>drag_flow_grounding, directly reviewed by root</x:v>
      </x:c>
      <x:c r="R188" s="52" t="n">
        <x:v>46270.8806184375</x:v>
      </x:c>
      <x:c r="S188" s="42" t="str">
        <x:v>Reference inspection is complete for this bounded range only. No current motion or exact visual match is established.</x:v>
      </x:c>
    </x:row>
    <x:row r="189">
      <x:c r="A189" s="42" t="str">
        <x:v>TR-NATIVE-RECORDING-PROBE</x:v>
      </x:c>
      <x:c r="B189" s="42" t="str">
        <x:v>MOT-005, UX-003</x:v>
      </x:c>
      <x:c r="C189" s="42" t="str">
        <x:v>menu-recovery-regression source, isolated demo</x:v>
      </x:c>
      <x:c r="D189" s="42" t="str">
        <x:v>native QuickTime and Screenshot controls through desktop tool</x:v>
      </x:c>
      <x:c r="E189" s="42" t="str"/>
      <x:c r="F189" s="42" t="str">
        <x:v>Open native screen recording, choose microphone none, a local evidence folder and window-only mode. Select the isolated editor and try the native record action. Dismiss the controls after no start is observable.</x:v>
      </x:c>
      <x:c r="G189" s="42" t="str">
        <x:v>Produce a silent recording of the isolated editor only before assessing motion.</x:v>
      </x:c>
      <x:c r="H189" s="42" t="str">
        <x:v>The recording toolbar became accessible through com.apple.screencaptureui. No recording start was confirmed and no new movie file was produced in the selected folder. QuickTime and the recording process exited after dismissal. A subsequent focused editor screenshot shows the flat controls and green picker swatch.</x:v>
      </x:c>
      <x:c r="I189" s="42" t="str">
        <x:v>Blocked</x:v>
      </x:c>
      <x:c r="J189" s="42" t="str">
        <x:v>Not run</x:v>
      </x:c>
      <x:c r="K189" s="42" t="str">
        <x:v>Blocked</x:v>
      </x:c>
      <x:c r="L189" s="42" t="str">
        <x:v>Not run</x:v>
      </x:c>
      <x:c r="M189" s="42" t="str"/>
      <x:c r="N189" s="42" t="str">
        <x:v>artifacts/reference-editor/qa-post-recorder-light.png; artifacts/ui/reference-editor-work.md</x:v>
      </x:c>
      <x:c r="O189" s="42" t="str"/>
      <x:c r="P189" s="42" t="str"/>
      <x:c r="Q189" s="42" t="str">
        <x:v>root</x:v>
      </x:c>
      <x:c r="R189" s="52" t="n">
        <x:v>46270.88061851852</x:v>
      </x:c>
      <x:c r="S189" s="42" t="str">
        <x:v>Recording transport limitation, not an app defect. No real Dock writes. No video artifact, smoothness verdict or capture-timing claim.</x:v>
      </x:c>
    </x:row>
    <x:row r="190">
      <x:c r="A190" s="42" t="str">
        <x:v>TR-DETAILS-KEYBOARD-RED</x:v>
      </x:c>
      <x:c r="B190" s="42" t="str">
        <x:v>PRF-034, MEN-004, UX-003</x:v>
      </x:c>
      <x:c r="C190" s="42" t="str">
        <x:v>menu-recovery-regression</x:v>
      </x:c>
      <x:c r="D190" s="42" t="str">
        <x:v>actual isolated light demo, native keyboard input</x:v>
      </x:c>
      <x:c r="E190" s="42" t="str"/>
      <x:c r="F190" s="42" t="str">
        <x:v>In Reading preview, select Books with Left, extend to Notes with shift-Right, toggle Notes with option-space, move focus with command-Left and move Books later with command-option-Right. Open dock details, expand keyboard help, press Right and Tab, select Books and press Left and command-option-Left.</x:v>
      </x:c>
      <x:c r="G190" s="42" t="str">
        <x:v>Preview and details keyboard commands select and reorder items. Focused rows remain reachable in the scrolling sheet.</x:v>
      </x:c>
      <x:c r="H190" s="42" t="str">
        <x:v>Preview range selection, toggle, focus-only movement and reorder all work. Reading becomes Notes then Books. In details, focus remains on the sheet through all key attempts and after row selection. Left and command-option-Left do not change selection or order. AX row selection scrolls the row into view, but does not establish keyboard focus.</x:v>
      </x:c>
      <x:c r="I190" s="42" t="str">
        <x:v>Fail</x:v>
      </x:c>
      <x:c r="J190" s="42" t="str">
        <x:v>Fail</x:v>
      </x:c>
      <x:c r="K190" s="42" t="str">
        <x:v>Not run</x:v>
      </x:c>
      <x:c r="L190" s="42" t="str">
        <x:v>Fail</x:v>
      </x:c>
      <x:c r="M190" s="42" t="str"/>
      <x:c r="N190" s="42" t="str">
        <x:v>artifacts/reference-editor/qa-keyboard-range-selection.png; artifacts/reference-editor/qa-keyboard-reorder.png; artifacts/reference-editor/qa-keyboard-details-open.png; artifacts/reference-editor/qa-keyboard-details-help.png; artifacts/reference-editor/qa-keyboard-details-focus-offscreen.png; artifacts/reference-editor/qa-keyboard-details-row-focus.png</x:v>
      </x:c>
      <x:c r="O190" s="42" t="str"/>
      <x:c r="P190" s="42" t="str"/>
      <x:c r="Q190" s="42" t="str">
        <x:v>root</x:v>
      </x:c>
      <x:c r="R190" s="52" t="n">
        <x:v>46270.884268333335</x:v>
      </x:c>
      <x:c r="S190" s="42" t="str">
        <x:v>Same input tool works in the preview. Details failure reproduced before source changes. No real Dock writes or VoiceOver pass.</x:v>
      </x:c>
    </x:row>
    <x:row r="191">
      <x:c r="A191" s="42" t="str">
        <x:v>TR-DETAILS-FOCUS-SCROLL-RED</x:v>
      </x:c>
      <x:c r="B191" s="42" t="str">
        <x:v>PRF-034, MEN-004, UX-003</x:v>
      </x:c>
      <x:c r="C191" s="42" t="str">
        <x:v>details-focus</x:v>
      </x:c>
      <x:c r="D191" s="42" t="str">
        <x:v>rebuilt isolated light demo, actual keyboard and scroll input</x:v>
      </x:c>
      <x:c r="E191" s="42" t="str"/>
      <x:c r="F191" s="42" t="str">
        <x:v>Repeat the exact failed details sequence after adding row focus eligibility. Exercise Left, shift-Right, option-space and command-option-Right. With help expanded, scroll to the top, then command-Right to move focus from Books to Notes.</x:v>
      </x:c>
      <x:c r="G191" s="42" t="str">
        <x:v>The shortcuts work and newly focused rows are visible without requiring pointer scrolling.</x:v>
      </x:c>
      <x:c r="H191" s="42" t="str">
        <x:v>The one-line focusable correction enables all tested keyboard selection and reorder commands. After scrolling to the top, command-Right moves AX focus to Notes but the scroll value stays zero and Notes is completely offscreen. All 91 hosted tests pass; they do not cover this visual focus behavior.</x:v>
      </x:c>
      <x:c r="I191" s="42" t="str">
        <x:v>Fail</x:v>
      </x:c>
      <x:c r="J191" s="42" t="str">
        <x:v>Fail</x:v>
      </x:c>
      <x:c r="K191" s="42" t="str">
        <x:v>Not run</x:v>
      </x:c>
      <x:c r="L191" s="42" t="str">
        <x:v>Fail</x:v>
      </x:c>
      <x:c r="M191" s="42" t="str">
        <x:v>artifacts/reference-editor/qa-keyboard-details-row-focus.png</x:v>
      </x:c>
      <x:c r="N191" s="42" t="str">
        <x:v>artifacts/reference-editor/qa-details-focus-candidate-arrow.png; artifacts/reference-editor/qa-details-focus-candidate-reorder.png; artifacts/reference-editor/qa-details-focus-native-scroll.png; artifacts/reference-editor/details-focus-hosted.log</x:v>
      </x:c>
      <x:c r="O191" s="42" t="str"/>
      <x:c r="P191" s="42" t="str"/>
      <x:c r="Q191" s="42" t="str">
        <x:v>root</x:v>
      </x:c>
      <x:c r="R191" s="52" t="n">
        <x:v>46270.886838715276</x:v>
      </x:c>
      <x:c r="S191" s="42" t="str">
        <x:v>Focus eligibility is confirmed as the original failure mechanism. Offscreen focus is now a separately reproduced remaining part of DEF-091, not a speculative workaround.</x:v>
      </x:c>
    </x:row>
    <x:row r="192">
      <x:c r="A192" s="42" t="str">
        <x:v>TR-DETAILS-REORDER-SCROLL-RED</x:v>
      </x:c>
      <x:c r="B192" s="42" t="str">
        <x:v>PRF-034, MEN-004, UX-003</x:v>
      </x:c>
      <x:c r="C192" s="42" t="str">
        <x:v>details-focus-scroll</x:v>
      </x:c>
      <x:c r="D192" s="42" t="str">
        <x:v>actual light and dark isolated demo</x:v>
      </x:c>
      <x:c r="E192" s="42" t="str"/>
      <x:c r="F192" s="42" t="str">
        <x:v>Verify command-arrow reveals offscreen Notes in Reading after scrolling to the top. In dark work details, expand keyboard help, select Mail and press command-option-Right twice.</x:v>
      </x:c>
      <x:c r="G192" s="42" t="str">
        <x:v>Both focus changes and keyboard reorders keep the focused row visible.</x:v>
      </x:c>
      <x:c r="H192" s="42" t="str">
        <x:v>Light command-arrow now scrolls from zero to 0.885 and reveals Notes. Range, toggle and reorder remain functional. In dark work, the first reorder clips Mail at the bottom. A second reorder places Mail third and entirely offscreen, while AX still identifies it as focused and selected. The focused item ID did not change, so the new focus-change scroll hook did not run.</x:v>
      </x:c>
      <x:c r="I192" s="42" t="str">
        <x:v>Fail</x:v>
      </x:c>
      <x:c r="J192" s="42" t="str">
        <x:v>Fail</x:v>
      </x:c>
      <x:c r="K192" s="42" t="str">
        <x:v>Not run</x:v>
      </x:c>
      <x:c r="L192" s="42" t="str">
        <x:v>Fail</x:v>
      </x:c>
      <x:c r="M192" s="42" t="str"/>
      <x:c r="N192" s="42" t="str">
        <x:v>artifacts/reference-editor/qa-details-light-focus-visible.png; artifacts/reference-editor/qa-details-light-reorder-final.png; artifacts/reference-editor/qa-details-light-path-final.png; artifacts/reference-editor/qa-details-dark-reorder-visibility.png; artifacts/reference-editor/qa-details-dark-reorder-offscreen.png; artifacts/reference-editor/details-focus-scroll-hosted.log</x:v>
      </x:c>
      <x:c r="O192" s="42" t="str"/>
      <x:c r="P192" s="42" t="str"/>
      <x:c r="Q192" s="42" t="str">
        <x:v>root</x:v>
      </x:c>
      <x:c r="R192" s="52" t="n">
        <x:v>46270.890225034724</x:v>
      </x:c>
      <x:c r="S192" s="42" t="str">
        <x:v>91 hosted tests pass. Repeated reorder visibility is a same-surface regression gap, not covered by those tests. No real Dock writes.</x:v>
      </x:c>
    </x:row>
    <x:row r="193">
      <x:c r="A193" s="42" t="str">
        <x:v>TR-DETAILS-KEYBOARD-FINAL</x:v>
      </x:c>
      <x:c r="B193" s="42" t="str">
        <x:v>PRF-034, MEN-004, UX-003, PRF-027</x:v>
      </x:c>
      <x:c r="C193" s="42" t="str">
        <x:v>details-order-scroll</x:v>
      </x:c>
      <x:c r="D193" s="42" t="str">
        <x:v>actual light Reading and dark work isolated demos, hosted suite</x:v>
      </x:c>
      <x:c r="E193" s="42" t="str"/>
      <x:c r="F193" s="42" t="str">
        <x:v>Repeat the exact dark Mail double-reorder failure with keyboard help expanded. Range-select spacer and Mail and move them earlier as a group. Check Tab navigation, close details and inspect pending editor state. In light Reading, move Books later, scroll to the top, move focus with command-Left, and select all. Run the complete hosted suite.</x:v>
      </x:c>
      <x:c r="G193" s="42" t="str">
        <x:v>Advertised keyboard editing works. Focused rows remain visible during navigation and reordering. Selection and saved edits survive closing details. The editor's active state does not change.</x:v>
      </x:c>
      <x:c r="H193" s="42" t="str">
        <x:v>Mail remains visible after moving from first to third. Group movement produces spacer, Mail, Calendar, Notes with both selected, and Tab focuses Mail without changing that selection. Closing details retains current work with four items and saved, not applied. Light Books reorder stays visible; command-Left reveals Notes without selecting it and command-a selects both. Escape returns to the editor. All 91 tests in seven hosted suites pass. Both isolated copies quit successfully.</x:v>
      </x:c>
      <x:c r="I193" s="42" t="str">
        <x:v>Pass</x:v>
      </x:c>
      <x:c r="J193" s="42" t="str">
        <x:v>Pass</x:v>
      </x:c>
      <x:c r="K193" s="42" t="str">
        <x:v>Not run</x:v>
      </x:c>
      <x:c r="L193" s="42" t="str">
        <x:v>Pass</x:v>
      </x:c>
      <x:c r="M193" s="42" t="str">
        <x:v>artifacts/reference-editor/qa-keyboard-details-row-focus.png; artifacts/reference-editor/qa-details-focus-native-scroll.png; artifacts/reference-editor/qa-details-dark-reorder-offscreen.png</x:v>
      </x:c>
      <x:c r="N193" s="42" t="str">
        <x:v>artifacts/reference-editor/qa-details-dark-reorder-visible-final.png; artifacts/reference-editor/qa-details-dark-group-reorder-final.png; artifacts/reference-editor/qa-details-dark-return-editor-final.png; artifacts/reference-editor/qa-details-light-order-visible-final.png; artifacts/reference-editor/qa-details-light-select-all-final.png; artifacts/reference-editor/details-order-scroll-hosted.log</x:v>
      </x:c>
      <x:c r="O193" s="42" t="str"/>
      <x:c r="P193" s="42" t="str"/>
      <x:c r="Q193" s="42" t="str">
        <x:v>root</x:v>
      </x:c>
      <x:c r="R193" s="52" t="n">
        <x:v>46270.89567587963</x:v>
      </x:c>
      <x:c r="S193" s="42" t="str">
        <x:v>Bounded keyboard-accessibility pass, not VoiceOver or the complete accessibility matrix. No pointer drag, removal, full motion or real Dock pass. Xcode still emits a staging-artifact warning.</x:v>
      </x:c>
    </x:row>
    <x:row r="194">
      <x:c r="A194" s="42" t="str">
        <x:v>TR-REFERENCE-991-1110</x:v>
      </x:c>
      <x:c r="B194" s="42" t="str">
        <x:v>UX-003, MOT-005, PRF-034</x:v>
      </x:c>
      <x:c r="C194" s="42" t="str">
        <x:v>unchanged original recording</x:v>
      </x:c>
      <x:c r="D194" s="42" t="str">
        <x:v>120 individual original-resolution frames</x:v>
      </x:c>
      <x:c r="E194" s="42" t="str"/>
      <x:c r="F194" s="42" t="str">
        <x:v>Inspect every original frame from 991 through 1110. Root reviews all observations and original frames 995 and 1078, then verifies every hash and timestamp before updating canonical annotations.</x:v>
      </x:c>
      <x:c r="G194" s="42" t="str">
        <x:v>Retain original evidence and distinguish visible states from inferred events. No match claim without current equivalent action evidence.</x:v>
      </x:c>
      <x:c r="H194" s="42" t="str">
        <x:v>120 hashes and timestamps match. Personal status settles by 995. The menu appears at 1053, highlights Personal, Work then Gaming, and starts fading at 1104. Personal still appears at 1110. Coverage is now 1111 reviewed and 1263 unreviewed frames. All 120 new comparisons remain notComparable.</x:v>
      </x:c>
      <x:c r="I194" s="42" t="str">
        <x:v>Not run</x:v>
      </x:c>
      <x:c r="J194" s="42" t="str">
        <x:v>Not run</x:v>
      </x:c>
      <x:c r="K194" s="42" t="str">
        <x:v>Not run</x:v>
      </x:c>
      <x:c r="L194" s="42" t="str">
        <x:v>Not run</x:v>
      </x:c>
      <x:c r="M194" s="42" t="str"/>
      <x:c r="N194" s="42" t="str">
        <x:v>artifacts/video-reference/reviews/reference-frames-000991-001110.json; artifacts/video-reference/coverage.json</x:v>
      </x:c>
      <x:c r="O194" s="42" t="str"/>
      <x:c r="P194" s="42" t="str"/>
      <x:c r="Q194" s="42" t="str">
        <x:v>drag_flow_grounding, directly reviewed by root</x:v>
      </x:c>
      <x:c r="R194" s="52" t="n">
        <x:v>46270.895676134256</x:v>
      </x:c>
      <x:c r="S194" s="42" t="str">
        <x:v>Exact-range extraction avoided overwriting existing sampled frames. The original recording is unchanged. Full video and matched current motion review are incomplete.</x:v>
      </x:c>
    </x:row>
    <x:row r="195">
      <x:c r="A195" s="42" t="str">
        <x:v>TR-LIBRARY-PERMISSION-SAVE-RED</x:v>
      </x:c>
      <x:c r="B195" s="42" t="str">
        <x:v>PRV-001, PRF-027, REL-001</x:v>
      </x:c>
      <x:c r="C195" s="42" t="str">
        <x:v>current DockLibraryStore before correction</x:v>
      </x:c>
      <x:c r="D195" s="42" t="str">
        <x:v>isolated temporary library, injected permission failure</x:v>
      </x:c>
      <x:c r="E195" s="42" t="str"/>
      <x:c r="F195" s="42" t="str">
        <x:v>Save a valid library normally and retain its bytes. Add a regular spacer to a candidate library. Save through a FileManager subclass whose setAttributes throws fileWriteNoPermission. Require the unwritable error and byte-for-byte preservation of the old file.</x:v>
      </x:c>
      <x:c r="G195" s="42" t="str">
        <x:v>A failed save leaves the previously saved library unchanged.</x:v>
      </x:c>
      <x:c r="H195" s="42" t="str">
        <x:v>The expected unwritable error is thrown, but the byte-preservation assertion fails. The candidate data has already replaced the destination before the permission update fails. Exactly one regression ran and failed. Its UUID temporary directory was cleaned.</x:v>
      </x:c>
      <x:c r="I195" s="42" t="str">
        <x:v>Fail</x:v>
      </x:c>
      <x:c r="J195" s="42" t="str">
        <x:v>Not applicable</x:v>
      </x:c>
      <x:c r="K195" s="42" t="str">
        <x:v>Not applicable</x:v>
      </x:c>
      <x:c r="L195" s="42" t="str">
        <x:v>Not applicable</x:v>
      </x:c>
      <x:c r="M195" s="42" t="str"/>
      <x:c r="N195" s="42" t="str">
        <x:v>artifacts/reference-editor/library-permission-save-red.log; Tests/DockitCoreTests/DockLibraryStoreFailureTests.swift</x:v>
      </x:c>
      <x:c r="O195" s="42" t="str"/>
      <x:c r="P195" s="42" t="str"/>
      <x:c r="Q195" s="42" t="str">
        <x:v>drag_adapter_tests, directly reviewed and rerun by root</x:v>
      </x:c>
      <x:c r="R195" s="52" t="n">
        <x:v>46270.89905152778</x:v>
      </x:c>
      <x:c r="S195" s="42" t="str">
        <x:v>Production source unchanged for the red run. No app GUI or real Dock operation. The defect affects the store's save and migration write path.</x:v>
      </x:c>
    </x:row>
    <x:row r="196">
      <x:c r="A196" s="42" t="str">
        <x:v>TR-LIBRARY-ATOMIC-SAVE-FINAL</x:v>
      </x:c>
      <x:c r="B196" s="42" t="str">
        <x:v>PRV-001, PRF-027, REL-001</x:v>
      </x:c>
      <x:c r="C196" s="42" t="str">
        <x:v>source with staged permission preparation and final rename</x:v>
      </x:c>
      <x:c r="D196" s="42" t="str">
        <x:v>macOS, UUID-isolated core fixtures and unsigned build-for-testing</x:v>
      </x:c>
      <x:c r="E196" s="42" t="str"/>
      <x:c r="F196" s="42" t="str">
        <x:v>Run all core tests after reviewing six store regressions. Build the app and hosted tests. Check permission failure on save and migration, first-save failure, replacement permissions, rename failure and cleanup failure after commit.</x:v>
      </x:c>
      <x:c r="G196" s="42" t="str">
        <x:v>A reported preparation or commit failure preserves the old library. Successful replacement uses 0600. Cleanup failure does not report failed save after success.</x:v>
      </x:c>
      <x:c r="H196" s="42" t="str">
        <x:v>All 82 Swift Testing tests and 11 XCTest tests pass. Six store regressions pass. Build-for-testing succeeds. The hosted application suite has not been rerun after this store change.</x:v>
      </x:c>
      <x:c r="I196" s="42" t="str">
        <x:v>Pass</x:v>
      </x:c>
      <x:c r="J196" s="42" t="str">
        <x:v>Not applicable</x:v>
      </x:c>
      <x:c r="K196" s="42" t="str">
        <x:v>Not applicable</x:v>
      </x:c>
      <x:c r="L196" s="42" t="str">
        <x:v>Not applicable</x:v>
      </x:c>
      <x:c r="M196" s="42" t="str"/>
      <x:c r="N196" s="42" t="str">
        <x:v>artifacts/reference-editor/library-atomic-save-core-final.log; artifacts/reference-editor/library-atomic-save-build.log</x:v>
      </x:c>
      <x:c r="O196" s="42" t="str"/>
      <x:c r="P196" s="42" t="str"/>
      <x:c r="Q196" s="42" t="str">
        <x:v>root, additional tests directly reviewed from drag_adapter_tests</x:v>
      </x:c>
      <x:c r="R196" s="52" t="n">
        <x:v>46270.9247883912</x:v>
      </x:c>
      <x:c r="S196" s="42" t="str">
        <x:v>Architect and independent cross-review selected Foundation staging plus final Darwin.rename. The original red test is retained. No real Dock writes or GUI activation tests.</x:v>
      </x:c>
    </x:row>
    <x:row r="197">
      <x:c r="A197" s="42" t="str">
        <x:v>TR-LIVE-ICON-MENU-DESKTOP</x:v>
      </x:c>
      <x:c r="B197" s="42" t="str">
        <x:v>UX-002, MEN-007, UX-003</x:v>
      </x:c>
      <x:c r="C197" s="42" t="str">
        <x:v>isolated reference-qa with scale126 Icon Composer resources</x:v>
      </x:c>
      <x:c r="D197" s="42" t="str">
        <x:v>native entire-screen capture with dockit editor raised</x:v>
      </x:c>
      <x:c r="E197" s="42" t="str"/>
      <x:c r="F197" s="42" t="str">
        <x:v>Raise the QA window through its exposed native action. Capture the whole screen using macOS Screenshot. Inspect the actual Dock and menu bar. Extract the compiled ICNS for separate comparison.</x:v>
      </x:c>
      <x:c r="G197" s="42" t="str">
        <x:v>The actual Dock icon fills its body and the enabled status item is visible.</x:v>
      </x:c>
      <x:c r="H197" s="42" t="str">
        <x:v>The actual Dock still shows an inset white mascot tile on a dark outer body. No miniature Dock status item is visible in the captured menu bar. The compiled ICNS separately has a full white body. Cause remains unconfirmed; stale identity/cache is only a hypothesis. A separately identified test copy was prepared but not launched.</x:v>
      </x:c>
      <x:c r="I197" s="42" t="str">
        <x:v>Not run</x:v>
      </x:c>
      <x:c r="J197" s="42" t="str">
        <x:v>Fail</x:v>
      </x:c>
      <x:c r="K197" s="42" t="str">
        <x:v>Not run</x:v>
      </x:c>
      <x:c r="L197" s="42" t="str">
        <x:v>Not run</x:v>
      </x:c>
      <x:c r="M197" s="42" t="str"/>
      <x:c r="N197" s="42" t="str">
        <x:v>artifacts/reference-editor/qa-desktop-icon-menu-live.png; artifacts/reference-editor/compiled-qa-icns.png</x:v>
      </x:c>
      <x:c r="O197" s="42" t="str"/>
      <x:c r="P197" s="42" t="str"/>
      <x:c r="Q197" s="42" t="str">
        <x:v>root</x:v>
      </x:c>
      <x:c r="R197" s="52" t="n">
        <x:v>46270.92478847222</x:v>
      </x:c>
      <x:c r="S197" s="42" t="str">
        <x:v>Later app and Finder captures fail with ScreenCaptureKit SCStreamErrorDomain3811. The QA process remains running. Pointer-drag testing did not begin and is not counted as a pass. The full screenshot stays local.</x:v>
      </x:c>
    </x:row>
    <x:row r="198">
      <x:c r="A198" s="42" t="str">
        <x:v>TR-REFERENCE-FRAMES-1111-1230</x:v>
      </x:c>
      <x:c r="B198" s="42" t="str">
        <x:v>MOT-005, UX-003, PRF-034</x:v>
      </x:c>
      <x:c r="C198" s="42" t="str"/>
      <x:c r="D198" s="42" t="str">
        <x:v>original 2160x2160 video frames, unscaled</x:v>
      </x:c>
      <x:c r="E198" s="42" t="str"/>
      <x:c r="F198" s="42" t="str">
        <x:v>Individually inspect 120 original frames. Root reviews all observations, inspects1120 and1189, and verifies all frame hashes and timestamps before canonical annotation merge.</x:v>
      </x:c>
      <x:c r="G198" s="42" t="str">
        <x:v>Preserve source timestamps and distinguish observed reference behavior from current-app parity.</x:v>
      </x:c>
      <x:c r="H198" s="42" t="str">
        <x:v>1231 total frames reviewed,1143 remain. Gaming appears at1120 and the editor widens through1128. Work menu highlighting is not editor selection or activation. All120 comparisons remain notComparable without a matched current recording.</x:v>
      </x:c>
      <x:c r="I198" s="42" t="str">
        <x:v>Not run</x:v>
      </x:c>
      <x:c r="J198" s="42" t="str">
        <x:v>Not run</x:v>
      </x:c>
      <x:c r="K198" s="42" t="str">
        <x:v>Not run</x:v>
      </x:c>
      <x:c r="L198" s="42" t="str">
        <x:v>Not run</x:v>
      </x:c>
      <x:c r="M198" s="42" t="str"/>
      <x:c r="N198" s="42" t="str">
        <x:v>artifacts/video-reference/reviews/reference-frames-001111-001230.json; artifacts/video-reference/coverage.json</x:v>
      </x:c>
      <x:c r="O198" s="42" t="str"/>
      <x:c r="P198" s="42" t="str"/>
      <x:c r="Q198" s="42" t="str">
        <x:v>drag_flow_grounding, directly reviewed by root</x:v>
      </x:c>
      <x:c r="R198" s="52" t="n">
        <x:v>46270.92478855324</x:v>
      </x:c>
      <x:c r="S198" s="42" t="str">
        <x:v>No drag or activation event established in this range. Original source unchanged. Full2374-frame and matched current-action review remain incomplete.</x:v>
      </x:c>
    </x:row>
    <x:row r="199">
      <x:c r="A199" s="42" t="str">
        <x:v>TR-POINTER-DRAG-READING-RED</x:v>
      </x:c>
      <x:c r="B199" s="42" t="str">
        <x:v>PRF-034, MOT-005</x:v>
      </x:c>
      <x:c r="C199" s="42" t="str">
        <x:v>reference-qa with final details keyboard fix, preview source unchanged</x:v>
      </x:c>
      <x:c r="D199" s="42" t="str">
        <x:v>isolated demo Reading profile with Books and Notes, live native pointer control</x:v>
      </x:c>
      <x:c r="E199" s="42"/>
      <x:c r="F199" s="42" t="str">
        <x:v>After capture access recovers, inspect the current 620 by252 editor. Drag Books from its center to the right side of Notes. Inspect screenshot and AX order. Drag Notes from its center to the left side of Books. Inspect again.</x:v>
      </x:c>
      <x:c r="G199" s="42" t="str">
        <x:v>The first accepted drag places Books after Notes. The reverse drag places Notes before Books. The preview reflects the accepted arrangement.</x:v>
      </x:c>
      <x:c r="H199" s="42" t="str">
        <x:v>Both attempts leave Books first and Notes second. The focused icon changes, but no reorder is established. These are actual pointer-tool attempts, not direct model calls. Whether the source drag begins or the drop fails is not yet known.</x:v>
      </x:c>
      <x:c r="I199" s="42" t="str">
        <x:v>Fail</x:v>
      </x:c>
      <x:c r="J199" s="42" t="str">
        <x:v>Not run</x:v>
      </x:c>
      <x:c r="K199" s="42" t="str">
        <x:v>Not run</x:v>
      </x:c>
      <x:c r="L199" s="42" t="str">
        <x:v>Not run</x:v>
      </x:c>
      <x:c r="M199" s="42"/>
      <x:c r="N199" s="42" t="str">
        <x:v>artifacts/reference-editor/qa-pointer-single-before.png; artifacts/reference-editor/qa-pointer-single-after.png; artifacts/reference-editor/qa-pointer-reverse-after.png</x:v>
      </x:c>
      <x:c r="O199" s="42"/>
      <x:c r="P199" s="42"/>
      <x:c r="Q199" s="42" t="str">
        <x:v>root</x:v>
      </x:c>
      <x:c r="R199" s="52" t="n">
        <x:v>46270.92648097222</x:v>
      </x:c>
      <x:c r="S199" s="42" t="str">
        <x:v>No real Dock changes. No recording exists for these attempts, so hover timing and cancellation remain unverified. Diagnose native drag initiation separately from commit guards before changing source.</x:v>
      </x:c>
    </x:row>
    <x:row r="200">
      <x:c r="A200" s="42" t="str">
        <x:v>TR-LIBRARY-ATOMIC-SAVE-HOSTED</x:v>
      </x:c>
      <x:c r="B200" s="42" t="str">
        <x:v>PRV-001, PRF-027, PRF-034, REL-001</x:v>
      </x:c>
      <x:c r="C200" s="42" t="str">
        <x:v>compiled store with staged permissions and final rename</x:v>
      </x:c>
      <x:c r="D200" s="42" t="str">
        <x:v>ad-hoc signed isolated reference-tests app, demo test host</x:v>
      </x:c>
      <x:c r="E200" s="42" t="str"/>
      <x:c r="F200" s="42" t="str">
        <x:v>Refresh executable, resources, test plug-in and embedded frameworks from the successful test build. Run the complete hosted suite against the separate test identity.</x:v>
      </x:c>
      <x:c r="G200" s="42" t="str">
        <x:v>Saved/applied behavior, retryable editing buffers, duplicate activation and replacement-save regressions remain green with the new store transaction.</x:v>
      </x:c>
      <x:c r="H200" s="42" t="str">
        <x:v>All 91 tests in seven hosted suites pass. The runner exits successfully. Xcode retains a result-import warning about staging Icon and 1_Test entries. This is not a pointer interaction or real Dock test.</x:v>
      </x:c>
      <x:c r="I200" s="42" t="str">
        <x:v>Pass</x:v>
      </x:c>
      <x:c r="J200" s="42" t="str">
        <x:v>Not applicable</x:v>
      </x:c>
      <x:c r="K200" s="42" t="str">
        <x:v>Not applicable</x:v>
      </x:c>
      <x:c r="L200" s="42" t="str">
        <x:v>Not applicable</x:v>
      </x:c>
      <x:c r="M200" s="42" t="str"/>
      <x:c r="N200" s="42" t="str">
        <x:v>artifacts/reference-editor/library-atomic-save-hosted.log; artifacts/reference-editor/library-atomic-save-hosted.xcresult</x:v>
      </x:c>
      <x:c r="O200" s="42" t="str"/>
      <x:c r="P200" s="42" t="str"/>
      <x:c r="Q200" s="42" t="str">
        <x:v>root</x:v>
      </x:c>
      <x:c r="R200" s="52" t="n">
        <x:v>46270.954718726854</x:v>
      </x:c>
      <x:c r="S200" s="42" t="str">
        <x:v>The separate QA window was not manipulated during the suite. No user Dock changes, publication or distribution signing.</x:v>
      </x:c>
    </x:row>
    <x:row r="201">
      <x:c r="A201" s="42" t="str">
        <x:v>TR-FRESH-ICON-SYSTEM-MENU-BLOCK</x:v>
      </x:c>
      <x:c r="B201" s="42" t="str">
        <x:v>UX-002, MEN-007, MEN-006, UX-003</x:v>
      </x:c>
      <x:c r="C201" s="42" t="str">
        <x:v>isolated icon-menu-fresh identity with approved scale126 icon and temporary demo-only status reporting</x:v>
      </x:c>
      <x:c r="D201" s="42" t="str">
        <x:v>macOS 26, native desktop screenshots and narrowly filtered ControlCenter logs</x:v>
      </x:c>
      <x:c r="E201" s="42"/>
      <x:c r="F201" s="42" t="str">
        <x:v>Inspect actual Dock after direct launch and normal Finder launch. Inspect status-item properties at startup, after menu visibility recreation and after a later demo profile apply. Compare the same identity with ControlCenter diagnostics. Inspect the current dark editor. Remove temporary source diagnostics and quit the test copy.</x:v>
      </x:c>
      <x:c r="G201" s="42" t="str">
        <x:v>The icon fills its white body. An enabled menu item appears and opens the shared switching menu. Dark appearance retains readable controls and profile identity.</x:v>
      </x:c>
      <x:c r="H201" s="42" t="str">
        <x:v>The fresh identity displays the full-white mascot in the actual Dock. The older test identity still has the inset image. The fresh menu item is allocated with its template image, but ControlCenter explicitly tracks it as a blocked host despite its request for visibility. The responsible allowance identity is not established. Current dark editor geometry and neutral controls remain readable. No menu interaction, live appearance-change or motion pass is claimed.</x:v>
      </x:c>
      <x:c r="I201" s="42" t="str">
        <x:v>Not run</x:v>
      </x:c>
      <x:c r="J201" s="42" t="str">
        <x:v>Fail</x:v>
      </x:c>
      <x:c r="K201" s="42" t="str">
        <x:v>Not run</x:v>
      </x:c>
      <x:c r="L201" s="42" t="str">
        <x:v>Not run</x:v>
      </x:c>
      <x:c r="M201" s="42"/>
      <x:c r="N201" s="42" t="str">
        <x:v>artifacts/reference-editor/Screenshot 2026-09-05 at 5.56.41 PM.png; artifacts/reference-editor/Screenshot 2026-09-05 at 5.59.52 PM.png; artifacts/reference-editor/qa-fresh-menu-probe-dark.png; artifacts/reference-editor/menu-status-at-launch.json; artifacts/reference-editor/menu-status-after-recreate.json; artifacts/reference-editor/menu-status-late-refresh.json; artifacts/reference-editor/menu-status-controlcenter-blocked.log</x:v>
      </x:c>
      <x:c r="O201" s="42"/>
      <x:c r="P201" s="42"/>
      <x:c r="Q201" s="42" t="str">
        <x:v>root, directly reviewed read-only diagnosis from menu_status_diagnosis</x:v>
      </x:c>
      <x:c r="R201" s="52" t="n">
        <x:v>46270.988412673614</x:v>
      </x:c>
      <x:c r="S201" s="42" t="str">
        <x:v>Overall visual gate remains failed because the menu item is absent. Fresh icon rendering is a bounded pass, not verified delivery for the original installation. System Settings was inspected read-only. No permissions, private database, real Dock layout or restart state changed. Desktop captures remain local. Temporary probe source and fixture probe variables were removed. The clean build-for-testing passes in menu-probe-clean-build.log. Process exit was verified before refreshing and validating the local ad-hoc test copy. No test app remains running.</x:v>
      </x:c>
    </x:row>
    <x:row r="202">
      <x:c r="A202" s="42" t="str">
        <x:v>TR-APPEARANCE-ADAPTATION-HOST-SETUP</x:v>
      </x:c>
      <x:c r="B202" s="42" t="str">
        <x:v>MEN-006, UX-003</x:v>
      </x:c>
      <x:c r="C202" s="42" t="str"/>
      <x:c r="D202" s="42" t="str">
        <x:v>isolated demo test host, AppearanceAdaptationTests only</x:v>
      </x:c>
      <x:c r="E202" s="42" t="str"/>
      <x:c r="F202" s="42" t="str">
        <x:v>Build the proposed hosted appearance regression. Host ContentView in an NSHostingController window and locate its actual toolbar picker before appearance changes.</x:v>
      </x:c>
      <x:c r="G202" s="42" t="str">
        <x:v>The test fixture installs the same native toolbar picker used by the editor, then allows pixel checks across light, dark and light.</x:v>
      </x:c>
      <x:c r="H202" s="42" t="str">
        <x:v>Build succeeds. The single hosted test fails at fixture setup because the native picker is absent from the hosting-controller window. No dark transition or pixel verdict is reached. This is a test-host limitation, not evidence of a product appearance defect.</x:v>
      </x:c>
      <x:c r="I202" s="42" t="str">
        <x:v>Fail</x:v>
      </x:c>
      <x:c r="J202" s="42" t="str">
        <x:v>Not run</x:v>
      </x:c>
      <x:c r="K202" s="42" t="str">
        <x:v>Not run</x:v>
      </x:c>
      <x:c r="L202" s="42" t="str">
        <x:v>Not run</x:v>
      </x:c>
      <x:c r="M202" s="42" t="str"/>
      <x:c r="N202" s="42" t="str">
        <x:v>artifacts/reference-editor/appearance-adaptation-build.log; artifacts/reference-editor/appearance-adaptation-hosted.log; artifacts/reference-editor/appearance-adaptation-hosted.xcresult</x:v>
      </x:c>
      <x:c r="O202" s="42" t="str"/>
      <x:c r="P202" s="42" t="str"/>
      <x:c r="Q202" s="42" t="str">
        <x:v>root, directly reviewed test from menu_status_diagnosis</x:v>
      </x:c>
      <x:c r="R202" s="52" t="n">
        <x:v>46270.99364707176</x:v>
      </x:c>
      <x:c r="S202" s="42" t="str">
        <x:v>Failure recorded before changing the fixture. The next fixture will host the real picker representable directly and retain its instance across appearance changes. This narrower test cannot verify SwiftUI toolbar installation or live macOS automatic appearance. No system settings or real Dock changed.</x:v>
      </x:c>
    </x:row>
    <x:row r="203">
      <x:c r="A203" s="42" t="str">
        <x:v>TR-APPEARANCE-PICKER-STALE-RED</x:v>
      </x:c>
      <x:c r="B203" s="42" t="str">
        <x:v>MEN-006, UX-003</x:v>
      </x:c>
      <x:c r="C203" s="42"/>
      <x:c r="D203" s="42" t="str">
        <x:v>isolated demo hosted test, actual native picker representable</x:v>
      </x:c>
      <x:c r="E203" s="42"/>
      <x:c r="F203" s="42" t="str">
        <x:v>Retain the same picker and model while changing application appearance light, dark and light. Sample the displayed swatch center. Refresh picker and shared activation menus through their real delegates and sample their swatches.</x:v>
      </x:c>
      <x:c r="G203" s="42" t="str">
        <x:v>The displayed swatch and reopened menus use the corresponding palette without any profile change.</x:v>
      </x:c>
      <x:c r="H203" s="42" t="str">
        <x:v>One test fails only at the closed picker's dark palette assertion. Its pixel remains sRGB 0.254902, 0.874510, 0.368627, the light green palette. Reopened menu checks and return-to-light pass. No model mutation or library write occurs.</x:v>
      </x:c>
      <x:c r="I203" s="42" t="str">
        <x:v>Fail</x:v>
      </x:c>
      <x:c r="J203" s="42" t="str">
        <x:v>Not run</x:v>
      </x:c>
      <x:c r="K203" s="42" t="str">
        <x:v>Not run</x:v>
      </x:c>
      <x:c r="L203" s="42" t="str">
        <x:v>Not run</x:v>
      </x:c>
      <x:c r="M203" s="42"/>
      <x:c r="N203" s="42" t="str">
        <x:v>artifacts/reference-editor/appearance-adaptation-adapter-hosted.log; artifacts/reference-editor/appearance-adaptation-adapter-hosted.xcresult</x:v>
      </x:c>
      <x:c r="O203" s="42"/>
      <x:c r="P203" s="42"/>
      <x:c r="Q203" s="42" t="str">
        <x:v>root</x:v>
      </x:c>
      <x:c r="R203" s="52" t="n">
        <x:v>46270.99541083333</x:v>
      </x:c>
      <x:c r="S203" s="42" t="str">
        <x:v>Recorded before production repair. This proves the adapter can retain stale artwork without a parent or model refresh. It does not prove a specific live toolbar manifestation or a macOS system-setting transition.</x:v>
      </x:c>
    </x:row>
    <x:row r="204">
      <x:c r="A204" s="42" t="str">
        <x:v>TR-APPEARANCE-PICKER-FIXED</x:v>
      </x:c>
      <x:c r="B204" s="42" t="str">
        <x:v>MEN-006, UX-003, MEN-007</x:v>
      </x:c>
      <x:c r="C204" s="42" t="str">
        <x:v>explicit SwiftUI colorScheme dependency and toolbar swatch render input</x:v>
      </x:c>
      <x:c r="D204" s="42" t="str">
        <x:v>isolated demo test host plus light and dark demo editor launches</x:v>
      </x:c>
      <x:c r="E204" s="42"/>
      <x:c r="F204" s="42" t="str">
        <x:v>Run the previously failing same-instance appearance test. Run the full hosted suite. Refresh the stopped demo fixture, inspect its foreground dark editor, quit, then relaunch the same fixture in light appearance and inspect it again.</x:v>
      </x:c>
      <x:c r="G204" s="42" t="str">
        <x:v>The existing picker updates to dark and back to light without model changes. Menu refresh remains correct. The full application suite passes and both editor appearances retain readable native controls.</x:v>
      </x:c>
      <x:c r="H204" s="42" t="str">
        <x:v>The same-instance pixel regression passes. All 92 tests in eight hosted suites pass. Foreground light and dark captures show the corresponding green swatch, readable full Reading label, flat matching actions, theme-adaptive badge underlay and layered preview. A gray picker swatch in the first inactive captures returns to its profile color after bringing the app forward, consistent with native inactive control treatment.</x:v>
      </x:c>
      <x:c r="I204" s="42" t="str">
        <x:v>Pass</x:v>
      </x:c>
      <x:c r="J204" s="42" t="str">
        <x:v>Pass</x:v>
      </x:c>
      <x:c r="K204" s="42" t="str">
        <x:v>Not run</x:v>
      </x:c>
      <x:c r="L204" s="42" t="str">
        <x:v>Not run</x:v>
      </x:c>
      <x:c r="M204" s="42"/>
      <x:c r="N204" s="42" t="str">
        <x:v>artifacts/reference-editor/appearance-adaptation-fixed-hosted.log; artifacts/reference-editor/appearance-adaptation-full-hosted.log; artifacts/reference-editor/appearance-adaptation-full-hosted.xcresult; artifacts/reference-editor/qa-appearance-adaptation-dark-front.png; artifacts/reference-editor/qa-appearance-adaptation-light-front.png</x:v>
      </x:c>
      <x:c r="O204" s="42"/>
      <x:c r="P204" s="42"/>
      <x:c r="Q204" s="42" t="str">
        <x:v>root, independent scoped code review from menu_status_diagnosis</x:v>
      </x:c>
      <x:c r="R204" s="52" t="n">
        <x:v>46271.00178556713</x:v>
      </x:c>
      <x:c r="S204" s="42" t="str">
        <x:v>Bounded palette and geometry pass only. Separate demo launches are not a live macOS system-setting change or scheduled automatic transition. The first repair build exposed one old test caller missing the new appearance argument; that caller was migrated and the rebuild passed. The original failed build log is retained. ScreenCaptureKit failed once at each launch and fresh captures recovered. No system settings, real Dock writes or profile data changes.</x:v>
      </x:c>
    </x:row>
    <x:row r="205">
      <x:c r="A205" s="42" t="str">
        <x:v>TR-INTERACTIVE-RECOVERY-SETUP-RED</x:v>
      </x:c>
      <x:c r="B205" s="42" t="str">
        <x:v>PRV-001, PRF-027, REL-001</x:v>
      </x:c>
      <x:c r="C205" s="42" t="str"/>
      <x:c r="D205" s="42" t="str">
        <x:v>opt-in hosted recovery fixture with mock Dock services</x:v>
      </x:c>
      <x:c r="E205" s="42" t="str"/>
      <x:c r="F205" s="42" t="str">
        <x:v>Open the actual ContentView backed by a temporary library with rejected writes. Locate it through the desktop tool. End the setup attempt using a token-bound test signal.</x:v>
      </x:c>
      <x:c r="G205" s="42" t="str">
        <x:v>The desktop tool targets the fixture, and test control signals require no user-directory permission.</x:v>
      </x:c>
      <x:c r="H205" s="42" t="str">
        <x:v>App reopen routes to the ordinary shared demo because the fixture lacks the management identifier. No recovery action reaches the fixture. Reading the stop signal from Documents then blocks the test's main thread. A process sample and filtered tccd log confirm a pending DocumentsFolder authorization request. The exact isolated test process was terminated without granting permission. Its temporary library and reports were preserved.</x:v>
      </x:c>
      <x:c r="I205" s="42" t="str">
        <x:v>Fail</x:v>
      </x:c>
      <x:c r="J205" s="42" t="str">
        <x:v>Not run</x:v>
      </x:c>
      <x:c r="K205" s="42" t="str">
        <x:v>Not run</x:v>
      </x:c>
      <x:c r="L205" s="42" t="str">
        <x:v>Not run</x:v>
      </x:c>
      <x:c r="M205" s="42" t="str"/>
      <x:c r="N205" s="42" t="str">
        <x:v>artifacts/reference-editor/interactive-recovery-light.log; artifacts/reference-editor/interactive-recovery-light.xcresult; artifacts/reference-editor/interactive-recovery-setup-failure/state.json; artifacts/reference-editor/interactive-recovery-stop-sample.txt; artifacts/reference-editor/interactive-recovery-tcc-read.log</x:v>
      </x:c>
      <x:c r="O205" s="42" t="str"/>
      <x:c r="P205" s="42" t="str"/>
      <x:c r="Q205" s="42" t="str">
        <x:v>root, fixture authored by menu_status_diagnosis and directly reviewed</x:v>
      </x:c>
      <x:c r="R205" s="52" t="n">
        <x:v>46271.01521107639</x:v>
      </x:c>
      <x:c r="S205" s="42" t="str">
        <x:v>Setup failure, not a product recovery failure. The report is the last pre-termination snapshot, not a completed run. Zero mock Dock writes and reloads were recorded. The old temporary library is preserved under interactive-recovery-setup-failure/library-fixture. Fixture-only corrections identify its window as management and move signals into its owned temporary directory. No production code, system permission or real Dock changed.</x:v>
      </x:c>
    </x:row>
    <x:row r="206">
      <x:c r="A206" s="42" t="str">
        <x:v>TR-INTERACTIVE-RECOVERY-ROUTING-RETEST</x:v>
      </x:c>
      <x:c r="B206" s="42" t="str">
        <x:v>PRV-001, PRF-027, REL-001</x:v>
      </x:c>
      <x:c r="C206" s="42" t="str"/>
      <x:c r="D206" s="42" t="str">
        <x:v>opt-in hosted fixture with temporary-directory control signals</x:v>
      </x:c>
      <x:c r="E206" s="42" t="str"/>
      <x:c r="F206" s="42" t="str">
        <x:v>Launch the corrected fixture, inspect the desktop-tool target, then send the token-bound finish signal in the fixture's temporary directory after determining the wrong window remains selected.</x:v>
      </x:c>
      <x:c r="G206" s="42" t="str">
        <x:v>The management identifier routes reopening to the fixture and temporary signals work without Documents permission.</x:v>
      </x:c>
      <x:c r="H206" s="42" t="str">
        <x:v>The app still raises the pre-existing ordinary demo instead of the separate fixture. Source review identifies retained fallback-window precedence. The temporary finish signal is read successfully without a permission prompt. The test intentionally fails its missing-failed-save invariant, reports phase failed, and verifies removal of its temporary library. Zero mock Dock writes or reloads occurred.</x:v>
      </x:c>
      <x:c r="I206" s="42" t="str">
        <x:v>Fail</x:v>
      </x:c>
      <x:c r="J206" s="42" t="str">
        <x:v>Not run</x:v>
      </x:c>
      <x:c r="K206" s="42" t="str">
        <x:v>Not run</x:v>
      </x:c>
      <x:c r="L206" s="42" t="str">
        <x:v>Not run</x:v>
      </x:c>
      <x:c r="M206" s="42" t="str"/>
      <x:c r="N206" s="42" t="str">
        <x:v>artifacts/reference-editor/interactive-recovery-light-retest.log; artifacts/reference-editor/interactive-recovery-light-retest.xcresult; artifacts/reference-editor/interactive-recovery-window-routing-failure/state.json</x:v>
      </x:c>
      <x:c r="O206" s="42" t="str"/>
      <x:c r="P206" s="42" t="str"/>
      <x:c r="Q206" s="42" t="str">
        <x:v>root</x:v>
      </x:c>
      <x:c r="R206" s="52" t="n">
        <x:v>46271.02185922454</x:v>
      </x:c>
      <x:c r="S206" s="42" t="str">
        <x:v>This remains a fixture-routing failure, not a product recovery verdict. The desktop screenshot is excluded from recovery proof. The next fixture will reuse and later restore the actual existing management window instead of creating a competing one. Normal production routing is unchanged.</x:v>
      </x:c>
    </x:row>
    <x:row r="207">
      <x:c r="A207" s="42" t="str">
        <x:v>TR-RETRY-STALE-ALERT-RED</x:v>
      </x:c>
      <x:c r="B207" s="42" t="str">
        <x:v>REL-001, PRF-027, PRV-001</x:v>
      </x:c>
      <x:c r="C207" s="42"/>
      <x:c r="D207" s="42" t="str">
        <x:v>actual editor in isolated real-save fixture, mock Dock services</x:v>
      </x:c>
      <x:c r="E207" s="42"/>
      <x:c r="F207" s="42" t="str">
        <x:v>Reject saves, add a regular spacer, dismiss the initial alert, open not saved. review, retry while rejected, allow fixture writes, retry successfully, then choose done.</x:v>
      </x:c>
      <x:c r="G207" s="42" t="str">
        <x:v>The editing buffer survives failure, disk remains unchanged until successful retry, apply stays blocked until persistence succeeds, and closing successful recovery does not present an obsolete error.</x:v>
      </x:c>
      <x:c r="H207" s="42" t="str">
        <x:v>The buffer holds five items while disk retains four during failure. Apply is disabled and the recovery sheet stays readable. Successful retry persists five items and shows changes saved. Choosing done then presents the prior changes could not be saved alert. The controlled screenshots and state checks establish this contradiction. A later desktop-tool outside-change warning interrupts final dismissal, and the harness ends with a changed status; that final interval is excluded from product verdicts.</x:v>
      </x:c>
      <x:c r="I207" s="42" t="str">
        <x:v>Fail</x:v>
      </x:c>
      <x:c r="J207" s="42" t="str">
        <x:v>Fail</x:v>
      </x:c>
      <x:c r="K207" s="42" t="str">
        <x:v>Not run</x:v>
      </x:c>
      <x:c r="L207" s="42" t="str">
        <x:v>Not run</x:v>
      </x:c>
      <x:c r="M207" s="42"/>
      <x:c r="N207" s="42" t="str">
        <x:v>artifacts/reference-editor/interactive-recovery/save-failure-alert-light.png; artifacts/reference-editor/interactive-recovery/retained-edit-light.png; artifacts/reference-editor/interactive-recovery/review-light.png; artifacts/reference-editor/interactive-recovery/retry-failed-light.png; artifacts/reference-editor/interactive-recovery/retry-saved-light.png; artifacts/reference-editor/interactive-recovery/after-done-light.png; artifacts/reference-editor/interactive-recovery-window-reuse.log; artifacts/reference-editor/interactive-recovery/state-red-window-reuse.json</x:v>
      </x:c>
      <x:c r="O207" s="42"/>
      <x:c r="P207" s="42" t="str">
        <x:v>DEF-095</x:v>
      </x:c>
      <x:c r="Q207" s="42" t="str">
        <x:v>root</x:v>
      </x:c>
      <x:c r="R207" s="52" t="n">
        <x:v>46271.03193579861</x:v>
      </x:c>
      <x:c r="S207" s="42" t="str">
        <x:v>Recorded before production repair. retrySave invokes the global fail presenter even though its callers already display inline save errors. No real Dock writes. The terminal harness report is failed and is not used as a successful end-to-end recovery result. It does confirm window restoration and temporary fixture cleanup.</x:v>
      </x:c>
    </x:row>
    <x:row r="208">
      <x:c r="A208" s="42" t="str">
        <x:v>TR-RETRY-STALE-ALERT-AUTO-RED</x:v>
      </x:c>
      <x:c r="B208" s="42" t="str">
        <x:v>REL-001, PRF-027, XFR-006</x:v>
      </x:c>
      <x:c r="C208" s="42" t="str"/>
      <x:c r="D208" s="42" t="str">
        <x:v>isolated hosted AppModelTests with mock Dock services and real temporary library storage</x:v>
      </x:c>
      <x:c r="E208" s="42" t="str"/>
      <x:c r="F208" s="42" t="str">
        <x:v>Run the complete AppModelTests suite before repairing retrySave.</x:v>
      </x:c>
      <x:c r="G208" s="42" t="str">
        <x:v>Rejected retries remain inline. A later successful retry clears the save error without leaving a queued alert, losing buffered edits, or applying a Dock.</x:v>
      </x:c>
      <x:c r="H208" s="42" t="str">
        <x:v>51 tests ran. Both new recovery tests failed at the expected presentedError assertions after failure and after success, for four issues total. Other assertions passed. An earlier method-filter attempt executed zero tests and is excluded from verification.</x:v>
      </x:c>
      <x:c r="I208" s="42" t="str">
        <x:v>Fail</x:v>
      </x:c>
      <x:c r="J208" s="42" t="str">
        <x:v>Not run</x:v>
      </x:c>
      <x:c r="K208" s="42" t="str">
        <x:v>Not run</x:v>
      </x:c>
      <x:c r="L208" s="42" t="str">
        <x:v>Not run</x:v>
      </x:c>
      <x:c r="M208" s="42" t="str"/>
      <x:c r="N208" s="42" t="str">
        <x:v>artifacts/reference-editor/retry-stale-alert-red-suite.log; artifacts/reference-editor/retry-stale-alert-red-suite.xcresult; artifacts/reference-editor/retry-stale-alert-red.log</x:v>
      </x:c>
      <x:c r="O208" s="42" t="str"/>
      <x:c r="P208" s="42" t="str">
        <x:v>DEF-095</x:v>
      </x:c>
      <x:c r="Q208" s="42" t="str">
        <x:v>root</x:v>
      </x:c>
      <x:c r="R208" s="52" t="n">
        <x:v>46271.037381898146</x:v>
      </x:c>
      <x:c r="S208" s="42" t="str">
        <x:v>poteto-mode and fix-root-causes require a reproduced failure before repair. The tests cover general save recovery and unavailable-app replacement recovery. No real Dock operations.</x:v>
      </x:c>
    </x:row>
    <x:row r="209">
      <x:c r="A209" s="42" t="str">
        <x:v>TR-RETRY-STALE-ALERT-AUTO-GREEN</x:v>
      </x:c>
      <x:c r="B209" s="42" t="str">
        <x:v>REL-001, PRF-027, XFR-006</x:v>
      </x:c>
      <x:c r="C209" s="42"/>
      <x:c r="D209" s="42" t="str">
        <x:v>isolated hosted suite, mock Dock services</x:v>
      </x:c>
      <x:c r="E209" s="42"/>
      <x:c r="F209" s="42" t="str">
        <x:v>Build the retrySave correction and run the complete hosted suite.</x:v>
      </x:c>
      <x:c r="G209" s="42" t="str">
        <x:v>Both new regressions pass, preserving buffered edits and active baselines without queued retry alerts or Dock operations.</x:v>
      </x:c>
      <x:c r="H209" s="42" t="str">
        <x:v>Both regressions passed. The runner reports 95 tests in nine suites, including one skipped opt-in interactive test. 94 automated tests executed successfully.</x:v>
      </x:c>
      <x:c r="I209" s="42" t="str">
        <x:v>Pass</x:v>
      </x:c>
      <x:c r="J209" s="42" t="str">
        <x:v>Not run</x:v>
      </x:c>
      <x:c r="K209" s="42" t="str">
        <x:v>Not run</x:v>
      </x:c>
      <x:c r="L209" s="42" t="str">
        <x:v>Not run</x:v>
      </x:c>
      <x:c r="M209" s="42"/>
      <x:c r="N209" s="42" t="str">
        <x:v>artifacts/reference-editor/retry-stale-alert-fixed-build.log; artifacts/reference-editor/retry-stale-alert-fixed-full.log; artifacts/reference-editor/retry-stale-alert-fixed-full.xcresult; artifacts/reference-editor/retry-stale-alert-final-full.log; artifacts/reference-editor/retry-stale-alert-final-full.xcresult</x:v>
      </x:c>
      <x:c r="O209" s="42"/>
      <x:c r="P209" s="42" t="str">
        <x:v>DEF-095</x:v>
      </x:c>
      <x:c r="Q209" s="42" t="str">
        <x:v>root</x:v>
      </x:c>
      <x:c r="R209" s="52" t="n">
        <x:v>46271.04504767361</x:v>
      </x:c>
      <x:c r="S209" s="42" t="str">
        <x:v>Root reviewed the delegated catch-only change. Inline errors and the accessibility announcement replace the duplicate global alert. Success does not clear unrelated errors. The complete suite passed again after the live test and test-window lookup correction, with 94 executed tests and one skipped interactive test.</x:v>
      </x:c>
    </x:row>
    <x:row r="210">
      <x:c r="A210" s="42" t="str">
        <x:v>TR-RETRY-STALE-ALERT-LIVE-GREEN</x:v>
      </x:c>
      <x:c r="B210" s="42" t="str">
        <x:v>REL-001, PRF-027, PRV-001</x:v>
      </x:c>
      <x:c r="C210" s="42" t="str"/>
      <x:c r="D210" s="42" t="str">
        <x:v>actual editor, light appearance, isolated temporary library and mock Dock services</x:v>
      </x:c>
      <x:c r="E210" s="42" t="str"/>
      <x:c r="F210" s="42" t="str">
        <x:v>Reject writes, add a regular spacer, dismiss the initial error, open recovery, retry while rejected, allow fixture writes, retry successfully, close recovery, then validate persisted state and cleanup.</x:v>
      </x:c>
      <x:c r="G210" s="42" t="str">
        <x:v>Retain five edited items and four persisted items during failure. Block apply until saving succeeds. Return to saved, not applied without an obsolete alert. Leave active state and the Dock unchanged.</x:v>
      </x:c>
      <x:c r="H210" s="42" t="str">
        <x:v>The complete sequence passed. Failed retry stayed inline. Successful retry displayed changes saved. Done returned to five items and saved, not applied with apply enabled and no alert. The fixture verified unchanged active baseline, zero Dock writes and reloads, restored window content, and removed its temporary data.</x:v>
      </x:c>
      <x:c r="I210" s="42" t="str">
        <x:v>Pass</x:v>
      </x:c>
      <x:c r="J210" s="42" t="str">
        <x:v>Pass</x:v>
      </x:c>
      <x:c r="K210" s="42" t="str">
        <x:v>Not run</x:v>
      </x:c>
      <x:c r="L210" s="42" t="str">
        <x:v>Not run</x:v>
      </x:c>
      <x:c r="M210" s="42" t="str"/>
      <x:c r="N210" s="42" t="str">
        <x:v>artifacts/reference-editor/interactive-recovery/green-review-light.png; artifacts/reference-editor/interactive-recovery/green-retry-failed-light.png; artifacts/reference-editor/interactive-recovery/green-retry-saved-light.png; artifacts/reference-editor/interactive-recovery/green-after-done-light.png; artifacts/reference-editor/interactive-recovery/state.json; artifacts/reference-editor/retry-stale-alert-fixed-interactive-retest.log</x:v>
      </x:c>
      <x:c r="O210" s="42" t="str"/>
      <x:c r="P210" s="42" t="str">
        <x:v>DEF-095</x:v>
      </x:c>
      <x:c r="Q210" s="42" t="str">
        <x:v>root</x:v>
      </x:c>
      <x:c r="R210" s="52" t="n">
        <x:v>46271.045047708336</x:v>
      </x:c>
      <x:c r="S210" s="42" t="str">
        <x:v>Visual verdict covers readable light recovery and absence of contradictory alert only. No animation or VoiceOver pass. The first post-fix live attempt failed before fixture attachment because the test required keyboard focus. The test now locates the visible management identifier. That setup failure remains in retry-stale-alert-fixed-interactive.log and is not a product verdict. A tool-opened test copy was terminated without editing or applying a profile before rerunning the isolated fixture.</x:v>
      </x:c>
    </x:row>
    <x:row r="211">
      <x:c r="A211" s="42" t="str">
        <x:v>TR-DEVELOPMENT-REGISTRATION-001</x:v>
      </x:c>
      <x:c r="B211" s="42" t="str">
        <x:v>REL-004, UX-002, MEN-007</x:v>
      </x:c>
      <x:c r="C211" s="42" t="str"/>
      <x:c r="D211" s="42" t="str">
        <x:v>public Launch Services query and exact-path registration cleanup</x:v>
      </x:c>
      <x:c r="E211" s="42" t="str"/>
      <x:c r="F211" s="42" t="str">
        <x:v>Validate every target bundle identifier and absence of a running target. Unregister 14 stale production paths, register the retained current build, then query all and preferred application URLs.</x:v>
      </x:c>
      <x:c r="G211" s="42" t="str">
        <x:v>One production registration resolves to the current reference-controls build. Preserve files, profiles, and the user's running fresh copy.</x:v>
      </x:c>
      <x:c r="H211" s="42" t="str">
        <x:v>The public query returns exactly one production registration and the preferred URL equals the retained build. No app files or profile data were deleted. The user's fresh PID 8830 remained running.</x:v>
      </x:c>
      <x:c r="I211" s="42" t="str">
        <x:v>Pass</x:v>
      </x:c>
      <x:c r="J211" s="42" t="str">
        <x:v>Not run</x:v>
      </x:c>
      <x:c r="K211" s="42" t="str">
        <x:v>Not applicable</x:v>
      </x:c>
      <x:c r="L211" s="42" t="str">
        <x:v>Not applicable</x:v>
      </x:c>
      <x:c r="M211" s="42" t="str"/>
      <x:c r="N211" s="42" t="str">
        <x:v>artifacts/reference-editor/development-registration-cleanup.log; artifacts/reference-editor/development-registration-verification.log</x:v>
      </x:c>
      <x:c r="O211" s="42" t="str"/>
      <x:c r="P211" s="42" t="str"/>
      <x:c r="Q211" s="42" t="str">
        <x:v>root</x:v>
      </x:c>
      <x:c r="R211" s="52" t="n">
        <x:v>46271.106803333336</x:v>
      </x:c>
      <x:c r="S211" s="42" t="str">
        <x:v>This verifies launch-path resolution, not installation trust, production live behavior, or menu bar visibility.</x:v>
      </x:c>
    </x:row>
    <x:row r="212">
      <x:c r="A212" s="42" t="str">
        <x:v>TR-MANAGE-MENU-SYMBOL-001</x:v>
      </x:c>
      <x:c r="B212" s="42" t="str">
        <x:v>MEN-001, MEN-007</x:v>
      </x:c>
      <x:c r="C212" s="42" t="str"/>
      <x:c r="D212" s="42" t="str">
        <x:v>isolated hosted suite and normal demo app native docks menu</x:v>
      </x:c>
      <x:c r="E212" s="42" t="str"/>
      <x:c r="F212" s="42" t="str">
        <x:v>Build the native template symbol addition. Test icon loading and retention after menu reopening, then open docks and invoke manage docks... in the actual demo.</x:v>
      </x:c>
      <x:c r="G212" s="42" t="str">
        <x:v>The command retains its native template image and target/action, stays enabled, and opens the existing editor without changing selection.</x:v>
      </x:c>
      <x:c r="H212" s="42" t="str">
        <x:v>95 automated tests passed, with one opt-in interactive test skipped. The actual menu exposes manage docks... and its action returns to the Reading editor with the same two items. The menu capture returned no image, so visual appearance and highlighting remain unverified.</x:v>
      </x:c>
      <x:c r="I212" s="42" t="str">
        <x:v>Pass</x:v>
      </x:c>
      <x:c r="J212" s="42" t="str">
        <x:v>Not run</x:v>
      </x:c>
      <x:c r="K212" s="42" t="str">
        <x:v>Not applicable</x:v>
      </x:c>
      <x:c r="L212" s="42" t="str">
        <x:v>Not run</x:v>
      </x:c>
      <x:c r="M212" s="42" t="str"/>
      <x:c r="N212" s="42" t="str">
        <x:v>artifacts/reference-editor/manage-menu-icon-build.log; artifacts/reference-editor/manage-menu-icon-tests.log; Sources/Dockit/DockMenuCoordinator.swift; Tests/DockitAppTests/MenuLifecycleTests.swift</x:v>
      </x:c>
      <x:c r="O212" s="42" t="str"/>
      <x:c r="P212" s="42" t="str"/>
      <x:c r="Q212" s="42" t="str">
        <x:v>root</x:v>
      </x:c>
      <x:c r="R212" s="52" t="n">
        <x:v>46271.106803344905</x:v>
      </x:c>
      <x:c r="S212" s="42" t="str">
        <x:v>No additional screenshot-tool investigation. Native command invocation was observed through current accessibility state. The separate status-item visibility defect stays open.</x:v>
      </x:c>
    </x:row>
    <x:row r="213">
      <x:c r="A213" s="42" t="str">
        <x:v>TR-FOCUS-REGISTRATION-RED-001</x:v>
      </x:c>
      <x:c r="B213" s="42" t="str">
        <x:v>FOC-001, FOC-002, REL-004</x:v>
      </x:c>
      <x:c r="C213" s="42" t="str"/>
      <x:c r="D213" s="42" t="str">
        <x:v>System Settings, existing Dockit Test Focus, no filter saved</x:v>
      </x:c>
      <x:c r="E213" s="42" t="str"/>
      <x:c r="F213" s="42" t="str">
        <x:v>Open the existing test Focus, Add Filter, and dockit. Inspect its form and the matching extension registration log.</x:v>
      </x:c>
      <x:c r="G213" s="42" t="str">
        <x:v>The profile form loads from the authoritative build before any Focus setting is saved.</x:v>
      </x:c>
      <x:c r="H213" s="42" t="str">
        <x:v>Could not load Focus Filter appears with Add disabled. The log reports kLSApplicationNotFoundErr for com.advegaf.dockit.focus and rejects the unsigned extension for missing sandbox entitlement. The retained app was an unsigned build-for-testing output. No filter or OS setting was changed.</x:v>
      </x:c>
      <x:c r="I213" s="42" t="str">
        <x:v>Fail</x:v>
      </x:c>
      <x:c r="J213" s="42" t="str">
        <x:v>Fail</x:v>
      </x:c>
      <x:c r="K213" s="42" t="str">
        <x:v>Not run</x:v>
      </x:c>
      <x:c r="L213" s="42" t="str">
        <x:v>Not run</x:v>
      </x:c>
      <x:c r="M213" s="42" t="str"/>
      <x:c r="N213" s="42" t="str">
        <x:v>artifacts/reference-editor/focus-picker-before-20260905.png; artifacts/reference-editor/focus-extension-registration-failure.log; artifacts/reference-editor/focus-extension-signed-retest.log</x:v>
      </x:c>
      <x:c r="O213" s="42" t="str"/>
      <x:c r="P213" s="42" t="str">
        <x:v>DEF-096</x:v>
      </x:c>
      <x:c r="Q213" s="42" t="str">
        <x:v>root</x:v>
      </x:c>
      <x:c r="R213" s="52" t="n">
        <x:v>46271.11221622685</x:v>
      </x:c>
      <x:c r="S213" s="42" t="str">
        <x:v>The earlier single-registration pass establishes URL resolution only. It does not establish extension readiness. DEF-016 cannot be retested until this form loads.</x:v>
      </x:c>
    </x:row>
    <x:row r="214">
      <x:c r="A214" s="42" t="str">
        <x:v>TR-FOCUS-REGISTRATION-RETEST-001</x:v>
      </x:c>
      <x:c r="B214" s="42" t="str">
        <x:v>FOC-001, FOC-002, REL-004</x:v>
      </x:c>
      <x:c r="C214" s="42" t="str"/>
      <x:c r="D214" s="42" t="str">
        <x:v>signed development build, current registered extension, fresh System Settings process</x:v>
      </x:c>
      <x:c r="E214" s="42" t="str"/>
      <x:c r="F214" s="42" t="str">
        <x:v>Build the existing location using the cached development identity. Verify parent and extension signatures, register the parent, and confirm exactly one current pluginkit entry. Reopen the form. Cancel it, quit Settings normally, confirm process exit, reopen Settings and attempt the form once.</x:v>
      </x:c>
      <x:c r="G214" s="42" t="str">
        <x:v>The corrected signed registration permits the native Focus form to load.</x:v>
      </x:c>
      <x:c r="H214" s="42" t="str">
        <x:v>Build and signature checks pass. pluginkit lists one current extension with the expected team and sandbox entitlement. The form still fails before querying profiles, including in the fresh Settings process. Both hosts report LSBundleRecord kLSApplicationNotFoundErr for com.advegaf.dockit.focus. Direct extension registration returned -10811 and was not repeated. All forms were canceled without saving.</x:v>
      </x:c>
      <x:c r="I214" s="42" t="str">
        <x:v>Fail</x:v>
      </x:c>
      <x:c r="J214" s="42" t="str">
        <x:v>Fail</x:v>
      </x:c>
      <x:c r="K214" s="42" t="str">
        <x:v>Not run</x:v>
      </x:c>
      <x:c r="L214" s="42" t="str">
        <x:v>Not run</x:v>
      </x:c>
      <x:c r="M214" s="42" t="str"/>
      <x:c r="N214" s="42" t="str">
        <x:v>artifacts/reference-editor/authoritative-development-build.log; artifacts/reference-editor/development-registration-signed-repair.log; artifacts/reference-editor/focus-picker-after-registration-20260905.png; artifacts/reference-editor/focus-picker-after-settings-restart-20260905.png; artifacts/reference-editor/focus-extension-restart-retest.log</x:v>
      </x:c>
      <x:c r="O214" s="42" t="str"/>
      <x:c r="P214" s="42" t="str">
        <x:v>DEF-096</x:v>
      </x:c>
      <x:c r="Q214" s="42" t="str">
        <x:v>root</x:v>
      </x:c>
      <x:c r="R214" s="52" t="n">
        <x:v>46271.113855868054</x:v>
      </x:c>
      <x:c r="S214" s="42" t="str">
        <x:v>Stop registration retries without new evidence. Independent source/evidence review confirmed that the older double-checkmark failure does not establish a cause for this loading failure. No real Dock operation or OS setting change occurred.</x:v>
      </x:c>
    </x:row>
    <x:row r="215">
      <x:c r="A215" s="42" t="str">
        <x:v>TR-FOCUS-NORMAL-LAUNCH-001</x:v>
      </x:c>
      <x:c r="B215" s="42" t="str">
        <x:v>FOC-001, FOC-002, REL-004</x:v>
      </x:c>
      <x:c r="C215" s="42" t="str"/>
      <x:c r="D215" s="42" t="str">
        <x:v>signed authoritative development app and native Focus form</x:v>
      </x:c>
      <x:c r="E215" s="42" t="str"/>
      <x:c r="F215" s="42" t="str">
        <x:v>Check no pending apply and an empty Focus request queue. Back up Dock preferences and library. Launch the signed app normally, confirm catalog publication, then open the unsaved Focus configuration once. Cancel and stop the app. Compare Dock preferences and library against the backups.</x:v>
      </x:c>
      <x:c r="G215" s="42" t="str">
        <x:v>Normal launch completes any missing runtime registration and the native Focus form loads.</x:v>
      </x:c>
      <x:c r="H215" s="42" t="str">
        <x:v>The app publishes and loads five catalog profiles, but System Settings still reports Could not load Focus Filter before profile selection. Add stays disabled. The app launch capture failed with SCStreamErrorDomain3811, while the Focus failure capture succeeded and was inspected. Dock preferences and the library are byte-for-byte unchanged. No Focus filter was saved.</x:v>
      </x:c>
      <x:c r="I215" s="42" t="str">
        <x:v>Fail</x:v>
      </x:c>
      <x:c r="J215" s="42" t="str">
        <x:v>Fail</x:v>
      </x:c>
      <x:c r="K215" s="42" t="str">
        <x:v>Not run</x:v>
      </x:c>
      <x:c r="L215" s="42" t="str">
        <x:v>Not run</x:v>
      </x:c>
      <x:c r="M215" s="42" t="str"/>
      <x:c r="N215" s="42" t="str">
        <x:v>artifacts/reference-editor/focus-normal-launch-result-20260905.png; artifacts/reference-editor/focus-normal-launch-log-20260905.log; artifacts/reference-editor/focus-launch-dock-backup-20260905.plist; artifacts/reference-editor/focus-launch-dock-final-20260905.plist; artifacts/reference-editor/focus-launch-library-backup-20260905.json</x:v>
      </x:c>
      <x:c r="O215" s="42" t="str"/>
      <x:c r="P215" s="42" t="str">
        <x:v>DEF-096</x:v>
      </x:c>
      <x:c r="Q215" s="42" t="str">
        <x:v>root</x:v>
      </x:c>
      <x:c r="R215" s="52" t="n">
        <x:v>46271.11767061343</x:v>
      </x:c>
      <x:c r="S215" s="42" t="str">
        <x:v>Independent metadata review found no package or intent identifier mismatch with the earlier bundle or Xcode's App Intents template. No speculative source change. Existing Dockit Test schedules remain pending action-time cleanup approval. The user's fresh demo was untouched.</x:v>
      </x:c>
    </x:row>
    <x:row r="216">
      <x:c r="A216" s="42" t="str">
        <x:v>TR-FOCUS-FIXTURE-CLEANUP-001</x:v>
      </x:c>
      <x:c r="B216" s="42" t="str">
        <x:v>FOC-001, REL-004</x:v>
      </x:c>
      <x:c r="C216" s="42" t="str"/>
      <x:c r="D216" s="42" t="str">
        <x:v>native System Settings Focus page</x:v>
      </x:c>
      <x:c r="E216" s="42" t="str"/>
      <x:c r="F216" s="42" t="str">
        <x:v>After explicit action-time approval, verify Dockit Test has the daily 1:16 to 1:20 AM schedule, Calculator trigger, and no filters. Delete only Dockit Test through the native confirmation. Inspect the resulting Focus list.</x:v>
      </x:c>
      <x:c r="G216" s="42" t="str">
        <x:v>The temporary Focus and its schedules are removed. Other Focus modes remain.</x:v>
      </x:c>
      <x:c r="H216" s="42" t="str">
        <x:v>Dockit Test is absent. Do Not Disturb, the existing unnamed Focus, Reduce Interruptions, Sleep, and Work remain visible. Focus sharing stays enabled. No other Focus was edited. Sleep is shown as on in the resulting list; this run did not activate it.</x:v>
      </x:c>
      <x:c r="I216" s="42" t="str">
        <x:v>Pass</x:v>
      </x:c>
      <x:c r="J216" s="42" t="str">
        <x:v>Pass</x:v>
      </x:c>
      <x:c r="K216" s="42" t="str">
        <x:v>Not applicable</x:v>
      </x:c>
      <x:c r="L216" s="42" t="str">
        <x:v>Not run</x:v>
      </x:c>
      <x:c r="M216" s="42" t="str"/>
      <x:c r="N216" s="42" t="str">
        <x:v>artifacts/reference-editor/focus-fixture-removed-20260905.png</x:v>
      </x:c>
      <x:c r="O216" s="42" t="str"/>
      <x:c r="P216" s="42" t="str"/>
      <x:c r="Q216" s="42" t="str">
        <x:v>root</x:v>
      </x:c>
      <x:c r="R216" s="52" t="n">
        <x:v>46271.13232837963</x:v>
      </x:c>
      <x:c r="S216" s="42" t="str">
        <x:v>User approved deletion after being told it may sync to other devices. The test Focus has no undo operation used here; its recorded schedule and trigger can be recreated manually. This cleanup does not fix DEF-016 or DEF-096 or complete release verification.</x:v>
      </x:c>
    </x:row>
    <x:row r="217">
      <x:c r="A217" s="42" t="str">
        <x:v>TR-INTERACTION-SWEEP-001</x:v>
      </x:c>
      <x:c r="B217" s="42" t="str">
        <x:v>PRF-009, PRF-021, PRF-028, SET-001, SET-004</x:v>
      </x:c>
      <x:c r="C217" s="42" t="str"/>
      <x:c r="D217" s="42" t="str">
        <x:v>isolated demo, dark appearance, fixed editor and scrolling settings</x:v>
      </x:c>
      <x:c r="E217" s="42" t="str"/>
      <x:c r="F217" s="42" t="str">
        <x:v>Insert a small and regular spacer into Reading. Range-select Books and Notes, then move them together with command-option-right. Inspect games without activation and return to Reading. Open settings with command-comma and scroll to about.</x:v>
      </x:c>
      <x:c r="G217" s="42" t="str">
        <x:v>Both spacer types retain their ordered slots. Grouped keyboard movement preserves application order. Profile inspection leaves work current and retains edited Reading content. Settings opens without a sidebar and all sections remain reachable.</x:v>
      </x:c>
      <x:c r="H217" s="42" t="str">
        <x:v>Reading changes from Books, Notes to Books, Notes, small spacer, regular spacer. Keyboard movement produces small spacer, Books, Notes, regular spacer. That exact order remains after inspecting games and returning. The picker continues to mark work current. Settings opens and scrolls to readable about and distribution copy. Captures show the two preview layers and flat dark controls without clipped text in these fixtures.</x:v>
      </x:c>
      <x:c r="I217" s="42" t="str">
        <x:v>Pass</x:v>
      </x:c>
      <x:c r="J217" s="42" t="str">
        <x:v>Pass</x:v>
      </x:c>
      <x:c r="K217" s="42" t="str">
        <x:v>Not run</x:v>
      </x:c>
      <x:c r="L217" s="42" t="str">
        <x:v>Not run</x:v>
      </x:c>
      <x:c r="M217" s="42" t="str"/>
      <x:c r="N217" s="42" t="str">
        <x:v>artifacts/reference-editor/sweep-spacers-20260905.png; artifacts/reference-editor/sweep-grouped-keyboard-20260905.png; artifacts/reference-editor/sweep-profile-return-20260905.png; artifacts/reference-editor/sweep-settings-20260905.png; artifacts/reference-editor/sweep-settings-about-20260905.png</x:v>
      </x:c>
      <x:c r="O217" s="42" t="str"/>
      <x:c r="P217" s="42" t="str"/>
      <x:c r="Q217" s="42" t="str">
        <x:v>root</x:v>
      </x:c>
      <x:c r="R217" s="52" t="n">
        <x:v>46271.136427592595</x:v>
      </x:c>
      <x:c r="S217" s="42" t="str">
        <x:v>Bounded demo interaction pass only. No disk persistence, real Dock activation, light-mode, VoiceOver, or recording verdict. Existing broader story verdicts remain unchanged.</x:v>
      </x:c>
    </x:row>
    <x:row r="218">
      <x:c r="A218" s="42" t="str">
        <x:v>TR-POINTER-DRAG-RECHECK-001</x:v>
      </x:c>
      <x:c r="B218" s="42" t="str">
        <x:v>PRF-028</x:v>
      </x:c>
      <x:c r="C218" s="42" t="str"/>
      <x:c r="D218" s="42" t="str">
        <x:v>isolated Reading demo with working editor captures</x:v>
      </x:c>
      <x:c r="E218" s="42" t="str"/>
      <x:c r="F218" s="42" t="str">
        <x:v>Capture Books before Notes. Drag Books after Notes. The first attempt activates the window; repeat once with the window already active, then stop.</x:v>
      </x:c>
      <x:c r="G218" s="42" t="str">
        <x:v>An accepted pointer drag changes the order to Notes, Books.</x:v>
      </x:c>
      <x:c r="H218" s="42" t="str">
        <x:v>Both attempts leave Books, Notes unchanged. The active-window capture shows Books focused but no reorder. The test does not distinguish input-tool delivery from an application defect. No further identical attempts were made.</x:v>
      </x:c>
      <x:c r="I218" s="42" t="str">
        <x:v>Blocked</x:v>
      </x:c>
      <x:c r="J218" s="42" t="str">
        <x:v>Not run</x:v>
      </x:c>
      <x:c r="K218" s="42" t="str">
        <x:v>Not run</x:v>
      </x:c>
      <x:c r="L218" s="42" t="str">
        <x:v>Not applicable</x:v>
      </x:c>
      <x:c r="M218" s="42" t="str"/>
      <x:c r="N218" s="42" t="str">
        <x:v>artifacts/reference-editor/drag-check-before-20260905.png; artifacts/reference-editor/drag-check-after-20260905.png; artifacts/reference-editor/drag-check-active-after-20260905.png</x:v>
      </x:c>
      <x:c r="O218" s="42" t="str"/>
      <x:c r="P218" s="42" t="str">
        <x:v>DEF-093</x:v>
      </x:c>
      <x:c r="Q218" s="42" t="str">
        <x:v>root</x:v>
      </x:c>
      <x:c r="R218" s="52" t="n">
        <x:v>46271.13642761574</x:v>
      </x:c>
      <x:c r="S218" s="42" t="str">
        <x:v>Pointer dragging remains unverified. The later successful keyboard reorder is not evidence that pointer dragging works.</x:v>
      </x:c>
    </x:row>
    <x:row r="219">
      <x:c r="A219" s="42" t="str">
        <x:v>TR-TRANSFER-ROUNDTRIP-001</x:v>
      </x:c>
      <x:c r="B219" s="42" t="str">
        <x:v>XFR-001, XFR-002, XFR-003, XFR-005, XFR-006, SET-004</x:v>
      </x:c>
      <x:c r="C219" s="42" t="str"/>
      <x:c r="D219" s="42" t="str">
        <x:v>isolated demo library, native file panels, real local archive file</x:v>
      </x:c>
      <x:c r="E219" s="42" t="str"/>
      <x:c r="F219" s="42" t="str">
        <x:v>Open settings. Export Reading and games through the native save panel. Inspect the file. Import it through the native open panel, review collisions and unavailable apps, then confirm. Close settings and inspect the imported games 2 profile.</x:v>
      </x:c>
      <x:c r="G219" s="42" t="str">
        <x:v>Only selected profiles are exported. Import appends renamed copies without changing the originals. Steam remains in the saved data despite being unavailable. Feedback returns to settings and full filenames remain readable.</x:v>
      </x:c>
      <x:c r="H219" s="42" t="str">
        <x:v>Export writes a version 1 archive containing Reading and games, ordered app references, and no Dock preferences or runtime state. The review proposes Reading 2 and games 2, names Steam and its path as unavailable, and explains import does not change the current Dock. Confirmation reports imported 2 docks. The editor shows games 2 as not active with Games and unavailable Steam.</x:v>
      </x:c>
      <x:c r="I219" s="42" t="str">
        <x:v>Pass</x:v>
      </x:c>
      <x:c r="J219" s="42" t="str">
        <x:v>Pass</x:v>
      </x:c>
      <x:c r="K219" s="42" t="str">
        <x:v>Not run</x:v>
      </x:c>
      <x:c r="L219" s="42" t="str">
        <x:v>Not run</x:v>
      </x:c>
      <x:c r="M219" s="42" t="str"/>
      <x:c r="N219" s="42" t="str">
        <x:v>artifacts/reference-editor/transfer-roundtrip-20260906.dockit; artifacts/reference-editor/transfer-export-result-20260906.png; artifacts/reference-editor/transfer-import-review-20260906.png; artifacts/reference-editor/transfer-import-result-20260906.png</x:v>
      </x:c>
      <x:c r="O219" s="42" t="str"/>
      <x:c r="P219" s="42" t="str"/>
      <x:c r="Q219" s="42" t="str">
        <x:v>root</x:v>
      </x:c>
      <x:c r="R219" s="52" t="n">
        <x:v>46271.23523240741</x:v>
      </x:c>
      <x:c r="S219" s="42" t="str">
        <x:v>The archive is a real file, but imported library storage is demo memory. This does not verify relaunch persistence, light appearance, activation, or failure recovery. A subsequent demo apply bypassed missing-app review, as the demo branch does by design, and is excluded from recovery verdicts. No production profile data or real Dock mutation.</x:v>
      </x:c>
    </x:row>
    <x:row r="220">
      <x:c r="A220" s="42" t="str">
        <x:v>TR-RECOVERY-MODEL-20260906</x:v>
      </x:c>
      <x:c r="B220" s="42" t="str">
        <x:v>XFR-006, REL-001, REL-002, PRF-025, PRF-027</x:v>
      </x:c>
      <x:c r="C220" s="42" t="str"/>
      <x:c r="D220" s="42" t="str">
        <x:v>hosted AppModelTests, non-demo fixture models, temporary disk stores and injected Dock services</x:v>
      </x:c>
      <x:c r="E220" s="42" t="str"/>
      <x:c r="F220" s="42" t="str">
        <x:v>Run the AppModelTests suite against the existing isolated test host. Inspect the replacement-save, retry, failed-reload, duplicate-in-flight, startup recovery, and persisted-state assertions.</x:v>
      </x:c>
      <x:c r="G220" s="42" t="str">
        <x:v>A chosen replacement survives failed saving. Retry persists it without applying or closing review. Failed activation restores the previous snapshot and retains saved edits. Duplicate activation waits for verification. Incomplete recovery cannot advance active state after a save failure.</x:v>
      </x:c>
      <x:c r="H220" s="42" t="str">
        <x:v>All 51 tests pass. Replacement and retry tests confirm retained buffered choice, unchanged disk on failure, blocked activation until persistence, no stale global error, and zero mock Dock writes or reloads during replacement recovery. The failed-reload test confirms two mock writes and two reload attempts for apply plus rollback, the previous active baseline, persisted saved edits, and no pending transaction. Duplicate activation waits for verification and avoids a second restart. Startup recovery save failure retains the previous active state and pending transaction.</x:v>
      </x:c>
      <x:c r="I220" s="42" t="str">
        <x:v>Pass</x:v>
      </x:c>
      <x:c r="J220" s="42" t="str">
        <x:v>Not run</x:v>
      </x:c>
      <x:c r="K220" s="42" t="str">
        <x:v>Not run</x:v>
      </x:c>
      <x:c r="L220" s="42" t="str">
        <x:v>Not run</x:v>
      </x:c>
      <x:c r="M220" s="42" t="str"/>
      <x:c r="N220" s="42" t="str">
        <x:v>artifacts/reference-editor/recovery-model-verification-20260906.log; artifacts/reference-editor/recovery-model-verification-20260906.xcresult; Tests/DockitAppTests/AppModelTests.swift</x:v>
      </x:c>
      <x:c r="O220" s="42" t="str"/>
      <x:c r="P220" s="42" t="str"/>
      <x:c r="Q220" s="42" t="str">
        <x:v>root</x:v>
      </x:c>
      <x:c r="R220" s="52" t="n">
        <x:v>46271.257838171296</x:v>
      </x:c>
      <x:c r="S220" s="42" t="str">
        <x:v>No source change or rebuild. The fixture model uses environment [:], real temporary persistence and mocked Dock preferences/reloader, so the demo activation shortcut is not used for these cases. The outer test host remains isolated. No screenshots or interactive dialog verdict. Existing visual, live-Dock, Focus and motion gates remain open. Result-bundle import warns about the Finder Icon resource file; the test runner completes successfully.</x:v>
      </x:c>
    </x:row>
    <x:row r="221">
      <x:c r="A221" s="42" t="str">
        <x:v>TR-FULL-AUTOMATED-20260906</x:v>
      </x:c>
      <x:c r="B221" s="42" t="str">
        <x:v>PRF-025, PRF-027, PRF-028, XFR-006, REL-001, REL-002</x:v>
      </x:c>
      <x:c r="C221" s="42" t="str"/>
      <x:c r="D221" s="42" t="str">
        <x:v>isolated hosted app tests and Swift package tests; injected Dock services</x:v>
      </x:c>
      <x:c r="E221" s="42" t="str"/>
      <x:c r="F221" s="42" t="str">
        <x:v>Run the complete existing hosted test bundle without rebuilding the signed development installation. Run swift test for the core package.</x:v>
      </x:c>
      <x:c r="G221" s="42" t="str">
        <x:v>All automated tests pass without changing the user's Dock. Keep interactive verification separate.</x:v>
      </x:c>
      <x:c r="H221" s="42" t="str">
        <x:v>Hosted runner reports 96 tests, including one explicitly skipped opt-in interactive recovery test: 95 executed tests pass across model, drag adapter/session, window layout, menus, appearance, palette and picker coverage. Core package passes 11 XCTest cases and 82 Swift Testing cases, 93 total. Both commands exit zero.</x:v>
      </x:c>
      <x:c r="I221" s="42" t="str">
        <x:v>Pass</x:v>
      </x:c>
      <x:c r="J221" s="42" t="str">
        <x:v>Not run</x:v>
      </x:c>
      <x:c r="K221" s="42" t="str">
        <x:v>Not run</x:v>
      </x:c>
      <x:c r="L221" s="42" t="str">
        <x:v>Not run</x:v>
      </x:c>
      <x:c r="M221" s="42" t="str"/>
      <x:c r="N221" s="42" t="str">
        <x:v>artifacts/reference-editor/full-regression-20260906.log; artifacts/reference-editor/full-regression-20260906.xcresult; artifacts/reference-editor/core-regression-20260906.log</x:v>
      </x:c>
      <x:c r="O221" s="42" t="str"/>
      <x:c r="P221" s="42" t="str"/>
      <x:c r="Q221" s="42" t="str">
        <x:v>root</x:v>
      </x:c>
      <x:c r="R221" s="52" t="n">
        <x:v>46271.26359539352</x:v>
      </x:c>
      <x:c r="S221" s="42" t="str">
        <x:v>188 executed automated tests pass. This is not the required second complete user-story sweep. Pointer delivery, real Focus, actual Dock restart, recordings and accessibility remain open. Result bundle writer warns about remaining Icon resource and 1_Test staging contents; execution logs report success. No product source changes.</x:v>
      </x:c>
    </x:row>
    <x:row r="222">
      <x:c r="A222" s="42" t="str">
        <x:v>TR-UNAVAILABLE-DIALOG-20260906</x:v>
      </x:c>
      <x:c r="B222" s="42" t="str">
        <x:v>XFR-006, REL-001</x:v>
      </x:c>
      <x:c r="C222" s="42" t="str"/>
      <x:c r="D222" s="42" t="str">
        <x:v>isolated demo app, native GUI control through sky</x:v>
      </x:c>
      <x:c r="E222" s="42" t="str"/>
      <x:c r="F222" s="42" t="str">
        <x:v>Select games. Inspect Games available and Steam unavailable. Open edit dock and choose review unavailable apps. Attempt capture, then Escape and quit.</x:v>
      </x:c>
      <x:c r="G222" s="42" t="str">
        <x:v>Unavailable-app review is readable and cancellation returns to an unchanged editor without activation.</x:v>
      </x:c>
      <x:c r="H222" s="42" t="str">
        <x:v>Accessibility state confirms games remains not active with two items and the review menu action exists. After choosing review, ScreenCaptureKit returns invalid-parameter error -3812. One settled-state retry and a capture after Escape also fail. No dialog screenshot or cancellation verdict obtained. The isolated process exits after quit; no further identical capture retries made.</x:v>
      </x:c>
      <x:c r="I222" s="42" t="str">
        <x:v>Blocked</x:v>
      </x:c>
      <x:c r="J222" s="42" t="str">
        <x:v>Blocked</x:v>
      </x:c>
      <x:c r="K222" s="42" t="str">
        <x:v>Not run</x:v>
      </x:c>
      <x:c r="L222" s="42" t="str">
        <x:v>Not run</x:v>
      </x:c>
      <x:c r="M222" s="42" t="str"/>
      <x:c r="N222" s="42" t="str">
        <x:v>Sources/Dockit/MissingAppsView.swift; Sources/Dockit/ProfileDetailView.swift</x:v>
      </x:c>
      <x:c r="O222" s="42" t="str"/>
      <x:c r="P222" s="42" t="str"/>
      <x:c r="Q222" s="42" t="str">
        <x:v>root</x:v>
      </x:c>
      <x:c r="R222" s="52" t="n">
        <x:v>46271.26359541667</x:v>
      </x:c>
      <x:c r="S222" s="42" t="str">
        <x:v>Tool limitation is not established as an app defect. No apply action, replacement choice or real Dock write was requested. Demo apply would bypass production recovery and is excluded. No screenshot evidence exists for this run.</x:v>
      </x:c>
    </x:row>
    <x:row r="223">
      <x:c r="A223" s="42" t="str">
        <x:v>TR-RECOVERY-POINTER-RETRY-20260906</x:v>
      </x:c>
      <x:c r="B223" s="42" t="str">
        <x:v>XFR-006, REL-001</x:v>
      </x:c>
      <x:c r="C223" s="42" t="str"/>
      <x:c r="D223" s="42" t="str">
        <x:v>isolated demo test copy, dark appearance, native GUI interaction</x:v>
      </x:c>
      <x:c r="E223" s="42" t="str"/>
      <x:c r="F223" s="42" t="str">
        <x:v>Bring the app forward through settings and return to the editor after launch capture fails. Inspect games and open review unavailable apps. Open choose replacement, cancel the native picker, then use Escape to cancel review.</x:v>
      </x:c>
      <x:c r="G223" s="42" t="str">
        <x:v>The review displays Steam and its full path. Cancelling replacement preserves the missing entry. Cancelling review returns to games without applying it.</x:v>
      </x:c>
      <x:c r="H223" s="42" t="str">
        <x:v>Launch capture returns -3811 and settings produces a tiny blank image. After returning to the editor, full captures recover without a permission prompt or permission change. Review shows Steam, /Applications/Steam.app and unavailable. Native replacement picker opens; cancellation returns to the same missing entry. Escape closes review and games remains not active with Games followed by unavailable Steam.</x:v>
      </x:c>
      <x:c r="I223" s="42" t="str">
        <x:v>Pass</x:v>
      </x:c>
      <x:c r="J223" s="42" t="str">
        <x:v>Pass</x:v>
      </x:c>
      <x:c r="K223" s="42" t="str">
        <x:v>Not run</x:v>
      </x:c>
      <x:c r="L223" s="42" t="str">
        <x:v>Not run</x:v>
      </x:c>
      <x:c r="M223" s="42" t="str"/>
      <x:c r="N223" s="42" t="str">
        <x:v>artifacts/reference-editor/unavailable-review-retry-20260906.png; artifacts/reference-editor/replacement-picker-retry-20260906.png; artifacts/reference-editor/replacement-cancel-retry-20260906.png; artifacts/reference-editor/review-cancel-retry-20260906.png</x:v>
      </x:c>
      <x:c r="O223" s="42" t="str"/>
      <x:c r="P223" s="42" t="str"/>
      <x:c r="Q223" s="42" t="str">
        <x:v>root</x:v>
      </x:c>
      <x:c r="R223" s="52" t="n">
        <x:v>46271.26877239583</x:v>
      </x:c>
      <x:c r="S223" s="42" t="str">
        <x:v>Root inspected each capture. Bounded dark dialog and cancellation pass only. No chosen replacement, save-failure injection, actual apply, VoiceOver or motion recording. The native picker retains macOS-owned text and truncation. Screen-capture root cause remains unknown; recovery after foregrounding does not prove a permission defect.</x:v>
      </x:c>
    </x:row>
    <x:row r="224">
      <x:c r="A224" s="42" t="str">
        <x:v>TR-POINTER-RETRY-20260906</x:v>
      </x:c>
      <x:c r="B224" s="42" t="str">
        <x:v>PRF-028</x:v>
      </x:c>
      <x:c r="C224" s="42" t="str"/>
      <x:c r="D224" s="42" t="str">
        <x:v>isolated Reading demo, current editor screenshot available</x:v>
      </x:c>
      <x:c r="E224" s="42" t="str"/>
      <x:c r="F224" s="42" t="str">
        <x:v>Inspect Books then Notes. Drag Books from (283,169) to (358,169), then repeat with the active window and destination (345,170) inside Notes.</x:v>
      </x:c>
      <x:c r="G224" s="42" t="str">
        <x:v>Pointer drag moves Books after Notes and commits one reorder.</x:v>
      </x:c>
      <x:c r="H224" s="42" t="str">
        <x:v>Both attempts leave Books then Notes. Books becomes focused and selected. The second attempt uses the already active window. No accepted reorder is observed.</x:v>
      </x:c>
      <x:c r="I224" s="42" t="str">
        <x:v>Blocked</x:v>
      </x:c>
      <x:c r="J224" s="42" t="str">
        <x:v>Not run</x:v>
      </x:c>
      <x:c r="K224" s="42" t="str">
        <x:v>Not run</x:v>
      </x:c>
      <x:c r="L224" s="42" t="str">
        <x:v>Not run</x:v>
      </x:c>
      <x:c r="M224" s="42" t="str"/>
      <x:c r="N224" s="42" t="str">
        <x:v>artifacts/reference-editor/pointer-retry-before-20260906.png; artifacts/reference-editor/pointer-retry-after-20260906.png</x:v>
      </x:c>
      <x:c r="O224" s="42" t="str"/>
      <x:c r="P224" s="42" t="str">
        <x:v>DEF-093</x:v>
      </x:c>
      <x:c r="Q224" s="42" t="str">
        <x:v>root</x:v>
      </x:c>
      <x:c r="R224" s="52" t="n">
        <x:v>46271.26877243056</x:v>
      </x:c>
      <x:c r="S224" s="42" t="str">
        <x:v>No new callback instrumentation. Prior audit records that control-tool drags delivered no traced drag callbacks. Input delivery versus app behavior remains unresolved. Reading changed from inactive to current during a tool-reported external state change before dragging; this was not an intentional activation in this run and is excluded as activation evidence. Both drag comparisons use the same two-item order. No real Dock apply requested.</x:v>
      </x:c>
    </x:row>
    <x:row r="225">
      <x:c r="A225" s="42" t="str">
        <x:v>TR-NATIVE-DRAG-LAYOUT-20260906</x:v>
      </x:c>
      <x:c r="B225" s="42" t="str">
        <x:v>PRF-028, UX-001, XFR-006</x:v>
      </x:c>
      <x:c r="C225" s="42" t="str"/>
      <x:c r="D225" s="42" t="str">
        <x:v>isolated native drag demo test build, macOS, no real Dock mutation</x:v>
      </x:c>
      <x:c r="E225" s="42" t="str"/>
      <x:c r="F225" s="42" t="str">
        <x:v>Build and run full hosted suite. Exercise short sheets and 60-profile export viewport. Ask user to drag Books past Notes and cancel another drag with Escape.</x:v>
      </x:c>
      <x:c r="G225" s="42" t="str">
        <x:v>Content-sized sheets keep actions reachable. Native drag commits a drop and cancellation preserves saved order.</x:v>
      </x:c>
      <x:c r="H225" s="42" t="str">
        <x:v>Build succeeds. 101 tests execute successfully; one optional interactive test is skipped. Long-list viewport regression first fails, then passes after sizing modifier order correction. User answers it works to the combined reorder and Escape trial. Automated pointer input still selects only. Subsequent screenshot shows work rather than Reading and does not independently establish the Books/Notes order.</x:v>
      </x:c>
      <x:c r="I225" s="42" t="str">
        <x:v>Pass</x:v>
      </x:c>
      <x:c r="J225" s="42" t="str">
        <x:v>Blocked</x:v>
      </x:c>
      <x:c r="K225" s="42" t="str">
        <x:v>Not run</x:v>
      </x:c>
      <x:c r="L225" s="42" t="str">
        <x:v>Not run</x:v>
      </x:c>
      <x:c r="M225" s="42" t="str"/>
      <x:c r="N225" s="42" t="str">
        <x:v>artifacts/reference-editor/native-drag-full-tests-20260906.log; artifacts/reference-editor/drag-layout-review-20260906.md</x:v>
      </x:c>
      <x:c r="O225" s="42" t="str"/>
      <x:c r="P225" s="42" t="str">
        <x:v>DEF-093</x:v>
      </x:c>
      <x:c r="Q225" s="42" t="str">
        <x:v>root and user</x:v>
      </x:c>
      <x:c r="R225" s="52" t="n">
        <x:v>46271.28850783565</x:v>
      </x:c>
      <x:c r="S225" s="42" t="str">
        <x:v>Bounded functional pass. Light missing-app primary action absent in capture despite AX presence; unresolved. Blank export capture excluded. No motion recording or full VoiceOver pass. Authoritative signed installation unchanged. Skills: which-skills, emil-design-eng, better-layout, better-interface.</x:v>
      </x:c>
    </x:row>
    <x:row r="226">
      <x:c r="A226" s="42" t="str">
        <x:v>TR-FINISHING-20260906</x:v>
      </x:c>
      <x:c r="B226" s="42" t="str">
        <x:v>FIN-001, FIN-002, FIN-003, FIN-004, UX-001, UX-003, XFR-006, PRF-028</x:v>
      </x:c>
      <x:c r="C226" s="42" t="str"/>
      <x:c r="D226" s="42" t="str">
        <x:v>Isolated macOS hosted tests and ad-hoc demo package; no real Dock mutation</x:v>
      </x:c>
      <x:c r="E226" s="42" t="str"/>
      <x:c r="F226" s="42" t="str">
        <x:v>Run core, hosted app and ledger suites; inspect hosted guide and recovery images; verify mounted DMG metadata and signature preservation.</x:v>
      </x:c>
      <x:c r="G226" s="42" t="str">
        <x:v>Stable apply feedback, guide lifecycle correctness, readable recovery actions and safe installer packaging.</x:v>
      </x:c>
      <x:c r="H226" s="42" t="str">
        <x:v>82 core and14ledger tests pass. Final hosted suite109reported:108executed pass,1optional interactive skipped. Stable feedback height, delayed spinner cancellation, guide setup and persistence, and native picker alignment within1point pass. Root inspected light/dark guide and recovery renders. Removing forced prominent style restores light recovery action; duplicate-layout hypothesis was reverted. Package metadata and signature checks pass. Live Computer Use unavailable.</x:v>
      </x:c>
      <x:c r="I226" s="42" t="str">
        <x:v>Pass</x:v>
      </x:c>
      <x:c r="J226" s="42" t="str">
        <x:v>Blocked</x:v>
      </x:c>
      <x:c r="K226" s="42" t="str">
        <x:v>Not run</x:v>
      </x:c>
      <x:c r="L226" s="42" t="str">
        <x:v>Not run</x:v>
      </x:c>
      <x:c r="M226" s="42" t="str"/>
      <x:c r="N226" s="42" t="str">
        <x:v>artifacts/reference-editor/finishing-pass/review.md; artifacts/reference-editor/finishing-pass/app-tests-final.log; artifacts/installer/final-preview-package-20260906.log</x:v>
      </x:c>
      <x:c r="O226" s="42" t="str"/>
      <x:c r="P226" s="42" t="str">
        <x:v>DEF-097</x:v>
      </x:c>
      <x:c r="Q226" s="42" t="str">
        <x:v>root and bounded workers</x:v>
      </x:c>
      <x:c r="R226" s="52" t="n">
        <x:v>46271.303918171296</x:v>
      </x:c>
      <x:c r="S226" s="42" t="str">
        <x:v>Bounded automated pass only. No full interface, live pointer, motion, VoiceOver or release pass. Actual production app icon unchanged. Installer decoration is a generated derivative awaiting user decision. Full autoplan runtime review not claimed.</x:v>
      </x:c>
    </x:row>
    <x:row r="227">
      <x:c r="A227" s="42" t="str">
        <x:v>TR-INSTALLED-DEMO-20260906</x:v>
      </x:c>
      <x:c r="B227" s="42" t="str">
        <x:v>PRF-010, FIN-003</x:v>
      </x:c>
      <x:c r="C227" s="42" t="str"/>
      <x:c r="D227" s="42" t="str">
        <x:v>User-installed /Applications/dockit.app and live Computer Use capture</x:v>
      </x:c>
      <x:c r="E227" s="42" t="str"/>
      <x:c r="F227" s="42" t="str">
        <x:v>Inspect process path, installed Info.plist, activation implementation and live editor; export all five preview profiles before replacement.</x:v>
      </x:c>
      <x:c r="G227" s="42" t="str">
        <x:v>Installed app applies saved items to the real Dock.</x:v>
      </x:c>
      <x:c r="H227" s="42" t="str">
        <x:v>Installed bundle is com.advegaf.dockit.finishing-final-preview with LSEnvironment DOCKIT_DEMO=1 and DOCKIT_TEST_HOST=1. Demo activation only updates in-memory active state and never calls the real activation service. Live editor says current despite being a demo. Export of five profiles succeeded. Live capture now works; previous capture blocker is not current.</x:v>
      </x:c>
      <x:c r="I227" s="42" t="str">
        <x:v>Fail</x:v>
      </x:c>
      <x:c r="J227" s="42" t="str">
        <x:v>Fail</x:v>
      </x:c>
      <x:c r="K227" s="42" t="str">
        <x:v>Not run</x:v>
      </x:c>
      <x:c r="L227" s="42" t="str">
        <x:v>Not run</x:v>
      </x:c>
      <x:c r="M227" s="42" t="str"/>
      <x:c r="N227" s="42" t="str">
        <x:v>artifacts/installed-app-repair/installed-preview-before.png</x:v>
      </x:c>
      <x:c r="O227" s="42" t="str"/>
      <x:c r="P227" s="42" t="str"/>
      <x:c r="Q227" s="42" t="str">
        <x:v>root</x:v>
      </x:c>
      <x:c r="R227" s="52" t="n">
        <x:v>46271.31617575231</x:v>
      </x:c>
      <x:c r="S227" s="42" t="str">
        <x:v>Original real-Dock probe passes do not verify this installed preview. User library and Dock preferences backed up before repair. No real Dock mutation in this diagnosis.</x:v>
      </x:c>
    </x:row>
    <x:row r="228">
      <x:c r="A228" s="42" t="str">
        <x:v>TR-WORKING-COPY-20260906</x:v>
      </x:c>
      <x:c r="B228" s="42" t="str">
        <x:v>PRF-010, REL-003, MEN-001, MEN-003, MEN-007, SET-002, FIN-003</x:v>
      </x:c>
      <x:c r="C228" s="42" t="str"/>
      <x:c r="D228" s="42" t="str">
        <x:v>Current source, hosted app tests, signed non-demo installation and live Finder</x:v>
      </x:c>
      <x:c r="E228" s="42" t="str"/>
      <x:c r="F228" s="42" t="str">
        <x:v>Add failing-first feedback regressions; run core and hosted suites; build and validate real signed app; replace installed demo recoverably; inspect actual mounted installer.</x:v>
      </x:c>
      <x:c r="G228" s="42" t="str">
        <x:v>Already-applied editor action is static and disabled; menus verify layouts; menu switches follow only their own verified result; Cmd+Q returns to menu bar; usable package has no demo flags; installer artwork displays.</x:v>
      </x:c>
      <x:c r="H228" s="42" t="str">
        <x:v>82 core tests pass. Feedback regression first failed twice and then15 targeted tests passed. Lifecycle full suite119 executed pass plus1 optional skip. Startup policy11 targeted tests pass. Installed Apple Development signed com.advegaf.dockit has no DOCKIT_ environment. Old preview and profiles backed up. Real Finder screenshot shows complete corrected Retina artwork, but native filename contrast and clipped notice required a second background revision. Native app attach remains intermittent despite confirmed visible management window and completed load logs.</x:v>
      </x:c>
      <x:c r="I228" s="42" t="str">
        <x:v>Pass</x:v>
      </x:c>
      <x:c r="J228" s="42" t="str">
        <x:v>Not run</x:v>
      </x:c>
      <x:c r="K228" s="42" t="str">
        <x:v>Not run</x:v>
      </x:c>
      <x:c r="L228" s="42" t="str">
        <x:v>Not run</x:v>
      </x:c>
      <x:c r="M228" s="42" t="str"/>
      <x:c r="N228" s="42" t="str">
        <x:v>artifacts/installed-app-repair/development-installer-live.png</x:v>
      </x:c>
      <x:c r="O228" s="42" t="str"/>
      <x:c r="P228" s="42" t="str"/>
      <x:c r="Q228" s="42" t="str">
        <x:v>root with bounded app and packaging workers</x:v>
      </x:c>
      <x:c r="R228" s="52" t="n">
        <x:v>46271.339968622684</x:v>
      </x:c>
      <x:c r="S228" s="42" t="str">
        <x:v>Automated behavior coverage is not a live editor, menu lifecycle or motion pass. Requested animate skill removed fast applying-layer flashes instead of delaying activation. Actual restore failure tracked separately. No release or notarization claimed.</x:v>
      </x:c>
    </x:row>
    <x:row r="229">
      <x:c r="A229" s="42" t="str">
        <x:v>TR-REAL-RESTORE-FAILURE-20260906</x:v>
      </x:c>
      <x:c r="B229" s="42" t="str">
        <x:v>PRF-010, REL-002</x:v>
      </x:c>
      <x:c r="C229" s="42" t="str"/>
      <x:c r="D229" s="42" t="str">
        <x:v>Real Dock probe with preference audit and preserved original-domain backups</x:v>
      </x:c>
      <x:c r="E229" s="42" t="str"/>
      <x:c r="F229" s="42" t="str">
        <x:v>Apply controlled three-item fixture; verify preservation; restore original five-item layout; capture read/write sequence and perform emergency recovery.</x:v>
      </x:c>
      <x:c r="G229" s="42" t="str">
        <x:v>Verified fixture apply and normal restoration without false success.</x:v>
      </x:c>
      <x:c r="H229" s="42" t="str">
        <x:v>Clean trial reaches PROBE_APPLIED. Restore immediate read exactly equals intended original layout, but post-reload read returns the previous fixture. Emergency recovery restores exact apps and folders. A later trial contaminated by app-window changes also needed a separate successful backup-restore retry. No timing or full reliability pass.</x:v>
      </x:c>
      <x:c r="I229" s="42" t="str">
        <x:v>Fail</x:v>
      </x:c>
      <x:c r="J229" s="42" t="str">
        <x:v>Not run</x:v>
      </x:c>
      <x:c r="K229" s="42" t="str">
        <x:v>Not run</x:v>
      </x:c>
      <x:c r="L229" s="42" t="str">
        <x:v>Not run</x:v>
      </x:c>
      <x:c r="M229" s="42" t="str"/>
      <x:c r="N229" s="42" t="str">
        <x:v>artifacts/installed-app-repair/live-clean-report.json.preferences.jsonl; artifacts/installed-app-repair/after-emergency-retry.plist</x:v>
      </x:c>
      <x:c r="O229" s="42" t="str"/>
      <x:c r="P229" s="42" t="str"/>
      <x:c r="Q229" s="42" t="str">
        <x:v>root</x:v>
      </x:c>
      <x:c r="R229" s="52" t="n">
        <x:v>46271.33996869213</x:v>
      </x:c>
      <x:c r="S229" s="42" t="str">
        <x:v>Refresh-before-read candidate reverted because the later run did not establish its effect. Independent-process preference auditing added to distinguish stale cache from actual writeback. Window changes during concurrent control/app closure are excluded as product defects.</x:v>
      </x:c>
    </x:row>
    <x:row r="230">
      <x:c r="A230" s="42" t="str">
        <x:v>TR-ALREADY-APPLIED-20260906</x:v>
      </x:c>
      <x:c r="B230" s="42" t="str">
        <x:v>PRF-010, REL-003</x:v>
      </x:c>
      <x:c r="C230" s="42"/>
      <x:c r="D230" s="42" t="str">
        <x:v>Current source, isolated core and hosted editor tests</x:v>
      </x:c>
      <x:c r="E230" s="42"/>
      <x:c r="F230" s="42" t="str">
        <x:v>Rerun equivalent layout and editor feedback tests, then remove temporary diagnostics and rerun editor and lifecycle suites.</x:v>
      </x:c>
      <x:c r="G230" s="42" t="str">
        <x:v>An already-applied layout causes no preference writes or restart. The editor shows a disabled applied action without a progress flash or width change.</x:v>
      </x:c>
      <x:c r="H230" s="42" t="str">
        <x:v>Equivalent layout test passes with zero writes and zero reload attempts. All 16 editor tests pass. After diagnostic cleanup, all 27 editor and lifecycle tests pass. No new live editor or motion verdict.</x:v>
      </x:c>
      <x:c r="I230" s="42" t="str">
        <x:v>Pass</x:v>
      </x:c>
      <x:c r="J230" s="42" t="str">
        <x:v>Not run</x:v>
      </x:c>
      <x:c r="K230" s="42" t="str">
        <x:v>Not run</x:v>
      </x:c>
      <x:c r="L230" s="42" t="str">
        <x:v>Not run</x:v>
      </x:c>
      <x:c r="M230" s="42"/>
      <x:c r="N230" s="42"/>
      <x:c r="O230" s="42"/>
      <x:c r="P230" s="42"/>
      <x:c r="Q230" s="42" t="str">
        <x:v>root and finish_app</x:v>
      </x:c>
      <x:c r="R230" s="52" t="n">
        <x:v>46271.35214974537</x:v>
      </x:c>
      <x:c r="S230" s="42" t="str">
        <x:v>Applies to matching verified saved baseline. Editing the layout re-enables the action. Menu entries retain real-layout comparison. This does not close the real switching recovery defect.</x:v>
      </x:c>
    </x:row>
    <x:row r="231">
      <x:c r="A231" s="42" t="str">
        <x:v>TR-RELOAD-ALTERNATIVES-20260906</x:v>
      </x:c>
      <x:c r="B231" s="42" t="str">
        <x:v>PRF-010, REL-002</x:v>
      </x:c>
      <x:c r="C231" s="42"/>
      <x:c r="D231" s="42" t="str">
        <x:v>Real Dock, fresh backup per trial, one-second interval, installed app paused and resumed through cleanup trap</x:v>
      </x:c>
      <x:c r="E231" s="42"/>
      <x:c r="F231" s="42" t="str">
        <x:v>Compare baseline isolation evidence, ten-second settling experiment, reverted launch-readiness experiment, graceful restart and explicit relaunch. Recover from each failed trial.</x:v>
      </x:c>
      <x:c r="G231" s="42" t="str">
        <x:v>Apply and restore preserve the original layout without a second recovery operation.</x:v>
      </x:c>
      <x:c r="H231" s="42" t="str">
        <x:v>Independent defaults reads confirm actual preference reversion after baseline restart, not only stale client cache. Ten-second hold passes one trial but is not an accepted fix. Launch-readiness condition fails and is reverted. Graceful restart still fails layout verification. Explicit relaunch is rejected; a separate backup restore succeeds. Exact pinned apps and folders match the latest backup and both Dock and dockit are running. No alternative accepted.</x:v>
      </x:c>
      <x:c r="I231" s="42" t="str">
        <x:v>Fail</x:v>
      </x:c>
      <x:c r="J231" s="42" t="str">
        <x:v>Not run</x:v>
      </x:c>
      <x:c r="K231" s="42" t="str">
        <x:v>Not run</x:v>
      </x:c>
      <x:c r="L231" s="42" t="str">
        <x:v>Not run</x:v>
      </x:c>
      <x:c r="M231" s="42"/>
      <x:c r="N231" s="42"/>
      <x:c r="O231" s="42"/>
      <x:c r="P231" s="42"/>
      <x:c r="Q231" s="42" t="str">
        <x:v>root</x:v>
      </x:c>
      <x:c r="R231" s="52" t="n">
        <x:v>46271.352149791666</x:v>
      </x:c>
      <x:c r="S231" s="42" t="str">
        <x:v>Hosted test process ran 03:24:51.309 through 03:24:52.504 during the graceful trial work period, so do not claim that trial verifies application/window preservation. Explicit trial ran after the test process exited. These are bounded diagnostic trials, not the required 20-switch benchmarks. No suspension experiment implemented.</x:v>
      </x:c>
    </x:row>
    <x:row r="232">
      <x:c r="A232" s="42" t="str">
        <x:v>TR-FRESH-INSTALL-FINISH-20260906</x:v>
      </x:c>
      <x:c r="B232" s="42" t="str">
        <x:v>PRF-001, FIN-001, FIN-002</x:v>
      </x:c>
      <x:c r="C232" s="42" t="str"/>
      <x:c r="D232" s="42" t="str">
        <x:v>Injected preferences and isolated libraries in hosted macOS tests; current source build</x:v>
      </x:c>
      <x:c r="E232" s="42" t="str"/>
      <x:c r="F232" s="42" t="str">
        <x:v>Test fresh capture, stale guide completion preference, failed capture/save, repeated setup and existing-library reload. Build current app and run full hosted regression.</x:v>
      </x:c>
      <x:c r="G232" s="42" t="str">
        <x:v>Fresh setup creates one current dock without changing the real Dock and shows the guide. Reinstall preserves data. Failed setup retains an empty retryable library.</x:v>
      </x:c>
      <x:c r="H232" s="42" t="str">
        <x:v>17 focused editor tests pass. Full hosted suite reports122 tests,121 executed and1 optional skip. Debug app builds. Tests assert one captured profile, persisted applied baseline, zero Dock writes, guide presentation despite orphaned preferences, and existing-library preservation.</x:v>
      </x:c>
      <x:c r="I232" s="42" t="str">
        <x:v>Pass</x:v>
      </x:c>
      <x:c r="J232" s="42" t="str">
        <x:v>Not run</x:v>
      </x:c>
      <x:c r="K232" s="42" t="str">
        <x:v>Not run</x:v>
      </x:c>
      <x:c r="L232" s="42" t="str">
        <x:v>Not run</x:v>
      </x:c>
      <x:c r="M232" s="42" t="str"/>
      <x:c r="N232" s="42" t="str"/>
      <x:c r="O232" s="42" t="str"/>
      <x:c r="P232" s="42" t="str"/>
      <x:c r="Q232" s="42" t="str">
        <x:v>finish_app and root</x:v>
      </x:c>
      <x:c r="R232" s="52" t="n">
        <x:v>46271.79754818287</x:v>
      </x:c>
      <x:c r="S232" s="42" t="str">
        <x:v>No user library reset or production migration was performed. Fresh setup runtime remains distinct from automated verification. Grill-me confirmation resolved reinstall semantics. Full autoplan review pipeline was not completed and is not recorded as executed.</x:v>
      </x:c>
    </x:row>
    <x:row r="233">
      <x:c r="A233" s="42" t="str">
        <x:v>TR-PICKER-CENTERS-FINISH-20260906</x:v>
      </x:c>
      <x:c r="B233" s="42" t="str">
        <x:v>PRF-023, MEN-005, REL-003</x:v>
      </x:c>
      <x:c r="C233" s="42" t="str"/>
      <x:c r="D233" s="42" t="str">
        <x:v>Native hosted window geometry and live installed dark editor capture</x:v>
      </x:c>
      <x:c r="E233" s="42" t="str"/>
      <x:c r="F233" s="42" t="str">
        <x:v>Measure picker and all three traffic-light centers in window coordinates. Inspect the live installed editor and applied action.</x:v>
      </x:c>
      <x:c r="G233" s="42" t="str">
        <x:v>Picker center matches each traffic-light center within one point. Already-applied action is disabled and clear.</x:v>
      </x:c>
      <x:c r="H233" s="42" t="str">
        <x:v>All centers equal232.0 points, delta0.0 for close, minimize and zoom. Six picker tests pass. Live screenshot shows aligned picker and disabled applied action. No new offset added because the measured layout already meets the request.</x:v>
      </x:c>
      <x:c r="I233" s="42" t="str">
        <x:v>Pass</x:v>
      </x:c>
      <x:c r="J233" s="42" t="str">
        <x:v>Pass</x:v>
      </x:c>
      <x:c r="K233" s="42" t="str">
        <x:v>Not run</x:v>
      </x:c>
      <x:c r="L233" s="42" t="str">
        <x:v>Not run</x:v>
      </x:c>
      <x:c r="M233" s="42" t="str"/>
      <x:c r="N233" s="42" t="str">
        <x:v>artifacts/installed-app-repair/applied-action-live-clear-20260906.png</x:v>
      </x:c>
      <x:c r="O233" s="42" t="str"/>
      <x:c r="P233" s="42" t="str"/>
      <x:c r="Q233" s="42" t="str">
        <x:v>root</x:v>
      </x:c>
      <x:c r="R233" s="52" t="n">
        <x:v>46271.79754821759</x:v>
      </x:c>
      <x:c r="S233" s="42" t="str">
        <x:v>Emil design review favored measured geometry over an arbitrary downward offset. This is a scoped dark-editor check, not a full light/dark or motion sweep.</x:v>
      </x:c>
    </x:row>
    <x:row r="234">
      <x:c r="A234" s="42" t="str">
        <x:v>TR-CLEAN-DMG-FINISH-20260906</x:v>
      </x:c>
      <x:c r="B234" s="42" t="str">
        <x:v>FIN-003, FIN-004</x:v>
      </x:c>
      <x:c r="C234" s="42" t="str"/>
      <x:c r="D234" s="42" t="str">
        <x:v>Mounted development DMG, Finder live capture, signed app built13:59 with CDHash f271caaa977c4cec1185ef20dc3b0acb2064894b</x:v>
      </x:c>
      <x:c r="E234" s="42" t="str"/>
      <x:c r="F234" s="42" t="str">
        <x:v>Generate clean artwork; validate app and extension versions; package and remount; inspect normal and zero-text-size experimental images; eject older project images and inspect current image alone.</x:v>
      </x:c>
      <x:c r="G234" s="42" t="str">
        <x:v>Correct background and draggable targets, no notice, version1.0.0, unchanged signatures, and no native filenames if Finder supports hiding them.</x:v>
      </x:c>
      <x:c r="H234" s="42" t="str">
        <x:v>Seven package-validation tests and full packaging tests pass. Current image contains fresh non-demo app and unchanged valid signatures. Clean mounted image shows mascot, arrow and actual app/Applications targets without notice. Native filenames remain. Zero-text-size experiment leaves filenames visible and loses background; rejected. Final release script uses dockit.dmg but no release or notarization performed.</x:v>
      </x:c>
      <x:c r="I234" s="42" t="str">
        <x:v>Pass</x:v>
      </x:c>
      <x:c r="J234" s="42" t="str">
        <x:v>Fail</x:v>
      </x:c>
      <x:c r="K234" s="42" t="str">
        <x:v>Not applicable</x:v>
      </x:c>
      <x:c r="L234" s="42" t="str">
        <x:v>Not run</x:v>
      </x:c>
      <x:c r="M234" s="42" t="str"/>
      <x:c r="N234" s="42" t="str">
        <x:v>artifacts/installed-app-repair/dmg-final-clean-mount-20260906.png</x:v>
      </x:c>
      <x:c r="O234" s="42" t="str"/>
      <x:c r="P234" s="42" t="str"/>
      <x:c r="Q234" s="42" t="str">
        <x:v>finish_dmg and root</x:v>
      </x:c>
      <x:c r="R234" s="52" t="n">
        <x:v>46271.79754825232</x:v>
      </x:c>
      <x:c r="S234" s="42" t="str">
        <x:v>Existing release recovery gates remain failed. Finder may retain user path/status bars. Old project test volumes were ejected without deleting files. Installed Applications copy was not replaced during this turn.</x:v>
      </x:c>
    </x:row>
    <x:row r="235">
      <x:c r="A235" s="42" t="str">
        <x:v>TR-WHITE-DMG-20260906</x:v>
      </x:c>
      <x:c r="B235" s="42" t="str">
        <x:v>FIN-003</x:v>
      </x:c>
      <x:c r="C235" s="42" t="str"/>
      <x:c r="D235" s="42" t="str">
        <x:v>macOS Finder and development packaging</x:v>
      </x:c>
      <x:c r="E235" s="42" t="str"/>
      <x:c r="F235" s="42" t="str">
        <x:v>Generate white artwork, render standard and Retina backgrounds, check filename contrast pixels, package and remount, validate unchanged app signatures. Export a 3840-pixel-wide master.</x:v>
      </x:c>
      <x:c r="G235" s="42" t="str">
        <x:v>Readable dark filenames on white artwork, unchanged draggable targets and signatures.</x:v>
      </x:c>
      <x:c r="H235" s="42" t="str">
        <x:v>Packaging, checksum, layout and signature checks pass. Standard/Retina mean RGB difference 0.00233. 4K export is 3840x2327, with upscaled source illustration rather than native 4K illustration detail.</x:v>
      </x:c>
      <x:c r="I235" s="42" t="str">
        <x:v>Pass</x:v>
      </x:c>
      <x:c r="J235" s="42" t="str">
        <x:v>Pass</x:v>
      </x:c>
      <x:c r="K235" s="42" t="str">
        <x:v>Not applicable</x:v>
      </x:c>
      <x:c r="L235" s="42" t="str">
        <x:v>Not run</x:v>
      </x:c>
      <x:c r="M235" s="42" t="str"/>
      <x:c r="N235" s="42" t="str">
        <x:v>artifacts/installer/white-live.png</x:v>
      </x:c>
      <x:c r="O235" s="42" t="str"/>
      <x:c r="P235" s="42" t="str"/>
      <x:c r="Q235" s="42" t="str">
        <x:v>root</x:v>
      </x:c>
      <x:c r="R235" s="52" t="n">
        <x:v>46271.8258646875</x:v>
      </x:c>
      <x:c r="S235" s="42" t="str">
        <x:v>Only installer artwork changed. Existing release gates remain unresolved. Source prompt: replace only charcoal background with white, preserving mascot, shelf, position and pastel tiles.</x:v>
      </x:c>
    </x:row>
    <x:row r="236">
      <x:c r="A236" s="42"/>
      <x:c r="B236" s="42"/>
      <x:c r="C236" s="42"/>
      <x:c r="D236" s="42"/>
      <x:c r="E236" s="42"/>
      <x:c r="F236" s="42"/>
      <x:c r="G236" s="42"/>
      <x:c r="H236" s="42"/>
      <x:c r="I236" s="42"/>
      <x:c r="J236" s="42"/>
      <x:c r="K236" s="42"/>
      <x:c r="L236" s="42"/>
      <x:c r="M236" s="42"/>
      <x:c r="N236" s="42"/>
      <x:c r="O236" s="42"/>
      <x:c r="P236" s="42"/>
      <x:c r="Q236" s="42"/>
      <x:c r="R236" s="42"/>
      <x:c r="S236" s="42"/>
    </x:row>
    <x:row r="237">
      <x:c r="A237" s="42"/>
      <x:c r="B237" s="42"/>
      <x:c r="C237" s="42"/>
      <x:c r="D237" s="42"/>
      <x:c r="E237" s="42"/>
      <x:c r="F237" s="42"/>
      <x:c r="G237" s="42"/>
      <x:c r="H237" s="42"/>
      <x:c r="I237" s="42"/>
      <x:c r="J237" s="42"/>
      <x:c r="K237" s="42"/>
      <x:c r="L237" s="42"/>
      <x:c r="M237" s="42"/>
      <x:c r="N237" s="42"/>
      <x:c r="O237" s="42"/>
      <x:c r="P237" s="42"/>
      <x:c r="Q237" s="42"/>
      <x:c r="R237" s="42"/>
      <x:c r="S237" s="42"/>
    </x:row>
    <x:row r="238">
      <x:c r="A238" s="42"/>
      <x:c r="B238" s="42"/>
      <x:c r="C238" s="42"/>
      <x:c r="D238" s="42"/>
      <x:c r="E238" s="42"/>
      <x:c r="F238" s="42"/>
      <x:c r="G238" s="42"/>
      <x:c r="H238" s="42"/>
      <x:c r="I238" s="42"/>
      <x:c r="J238" s="42"/>
      <x:c r="K238" s="42"/>
      <x:c r="L238" s="42"/>
      <x:c r="M238" s="42"/>
      <x:c r="N238" s="42"/>
      <x:c r="O238" s="42"/>
      <x:c r="P238" s="42"/>
      <x:c r="Q238" s="42"/>
      <x:c r="R238" s="42"/>
      <x:c r="S238" s="42"/>
    </x:row>
    <x:row r="239">
      <x:c r="A239" s="42"/>
      <x:c r="B239" s="42"/>
      <x:c r="C239" s="42"/>
      <x:c r="D239" s="42"/>
      <x:c r="E239" s="42"/>
      <x:c r="F239" s="42"/>
      <x:c r="G239" s="42"/>
      <x:c r="H239" s="42"/>
      <x:c r="I239" s="42"/>
      <x:c r="J239" s="42"/>
      <x:c r="K239" s="42"/>
      <x:c r="L239" s="42"/>
      <x:c r="M239" s="42"/>
      <x:c r="N239" s="42"/>
      <x:c r="O239" s="42"/>
      <x:c r="P239" s="42"/>
      <x:c r="Q239" s="42"/>
      <x:c r="R239" s="42"/>
      <x:c r="S239" s="42"/>
    </x:row>
    <x:row r="240">
      <x:c r="A240" s="42"/>
      <x:c r="B240" s="42"/>
      <x:c r="C240" s="42"/>
      <x:c r="D240" s="42"/>
      <x:c r="E240" s="42"/>
      <x:c r="F240" s="42"/>
      <x:c r="G240" s="42"/>
      <x:c r="H240" s="42"/>
      <x:c r="I240" s="42"/>
      <x:c r="J240" s="42"/>
      <x:c r="K240" s="42"/>
      <x:c r="L240" s="42"/>
      <x:c r="M240" s="42"/>
      <x:c r="N240" s="42"/>
      <x:c r="O240" s="42"/>
      <x:c r="P240" s="42"/>
      <x:c r="Q240" s="42"/>
      <x:c r="R240" s="42"/>
      <x:c r="S240" s="42"/>
    </x:row>
    <x:row r="241">
      <x:c r="A241" s="42"/>
      <x:c r="B241" s="42"/>
      <x:c r="C241" s="42"/>
      <x:c r="D241" s="42"/>
      <x:c r="E241" s="42"/>
      <x:c r="F241" s="42"/>
      <x:c r="G241" s="42"/>
      <x:c r="H241" s="42"/>
      <x:c r="I241" s="42"/>
      <x:c r="J241" s="42"/>
      <x:c r="K241" s="42"/>
      <x:c r="L241" s="42"/>
      <x:c r="M241" s="42"/>
      <x:c r="N241" s="42"/>
      <x:c r="O241" s="42"/>
      <x:c r="P241" s="42"/>
      <x:c r="Q241" s="42"/>
      <x:c r="R241" s="42"/>
      <x:c r="S241" s="42"/>
    </x:row>
    <x:row r="242">
      <x:c r="A242" s="42"/>
      <x:c r="B242" s="42"/>
      <x:c r="C242" s="42"/>
      <x:c r="D242" s="42"/>
      <x:c r="E242" s="42"/>
      <x:c r="F242" s="42"/>
      <x:c r="G242" s="42"/>
      <x:c r="H242" s="42"/>
      <x:c r="I242" s="42"/>
      <x:c r="J242" s="42"/>
      <x:c r="K242" s="42"/>
      <x:c r="L242" s="42"/>
      <x:c r="M242" s="42"/>
      <x:c r="N242" s="42"/>
      <x:c r="O242" s="42"/>
      <x:c r="P242" s="42"/>
      <x:c r="Q242" s="42"/>
      <x:c r="R242" s="42"/>
      <x:c r="S242" s="42"/>
    </x:row>
    <x:row r="243">
      <x:c r="A243" s="42"/>
      <x:c r="B243" s="42"/>
      <x:c r="C243" s="42"/>
      <x:c r="D243" s="42"/>
      <x:c r="E243" s="42"/>
      <x:c r="F243" s="42"/>
      <x:c r="G243" s="42"/>
      <x:c r="H243" s="42"/>
      <x:c r="I243" s="42"/>
      <x:c r="J243" s="42"/>
      <x:c r="K243" s="42"/>
      <x:c r="L243" s="42"/>
      <x:c r="M243" s="42"/>
      <x:c r="N243" s="42"/>
      <x:c r="O243" s="42"/>
      <x:c r="P243" s="42"/>
      <x:c r="Q243" s="42"/>
      <x:c r="R243" s="42"/>
      <x:c r="S243" s="42"/>
    </x:row>
    <x:row r="244">
      <x:c r="A244" s="42"/>
      <x:c r="B244" s="42"/>
      <x:c r="C244" s="42"/>
      <x:c r="D244" s="42"/>
      <x:c r="E244" s="42"/>
      <x:c r="F244" s="42"/>
      <x:c r="G244" s="42"/>
      <x:c r="H244" s="42"/>
      <x:c r="I244" s="42"/>
      <x:c r="J244" s="42"/>
      <x:c r="K244" s="42"/>
      <x:c r="L244" s="42"/>
      <x:c r="M244" s="42"/>
      <x:c r="N244" s="42"/>
      <x:c r="O244" s="42"/>
      <x:c r="P244" s="42"/>
      <x:c r="Q244" s="42"/>
      <x:c r="R244" s="42"/>
      <x:c r="S244" s="42"/>
    </x:row>
    <x:row r="245">
      <x:c r="A245" s="42"/>
      <x:c r="B245" s="42"/>
      <x:c r="C245" s="42"/>
      <x:c r="D245" s="42"/>
      <x:c r="E245" s="42"/>
      <x:c r="F245" s="42"/>
      <x:c r="G245" s="42"/>
      <x:c r="H245" s="42"/>
      <x:c r="I245" s="42"/>
      <x:c r="J245" s="42"/>
      <x:c r="K245" s="42"/>
      <x:c r="L245" s="42"/>
      <x:c r="M245" s="42"/>
      <x:c r="N245" s="42"/>
      <x:c r="O245" s="42"/>
      <x:c r="P245" s="42"/>
      <x:c r="Q245" s="42"/>
      <x:c r="R245" s="42"/>
      <x:c r="S245" s="42"/>
    </x:row>
    <x:row r="246">
      <x:c r="A246" s="42"/>
      <x:c r="B246" s="42"/>
      <x:c r="C246" s="42"/>
      <x:c r="D246" s="42"/>
      <x:c r="E246" s="42"/>
      <x:c r="F246" s="42"/>
      <x:c r="G246" s="42"/>
      <x:c r="H246" s="42"/>
      <x:c r="I246" s="42"/>
      <x:c r="J246" s="42"/>
      <x:c r="K246" s="42"/>
      <x:c r="L246" s="42"/>
      <x:c r="M246" s="42"/>
      <x:c r="N246" s="42"/>
      <x:c r="O246" s="42"/>
      <x:c r="P246" s="42"/>
      <x:c r="Q246" s="42"/>
      <x:c r="R246" s="42"/>
      <x:c r="S246" s="42"/>
    </x:row>
    <x:row r="247">
      <x:c r="A247" s="42"/>
      <x:c r="B247" s="42"/>
      <x:c r="C247" s="42"/>
      <x:c r="D247" s="42"/>
      <x:c r="E247" s="42"/>
      <x:c r="F247" s="42"/>
      <x:c r="G247" s="42"/>
      <x:c r="H247" s="42"/>
      <x:c r="I247" s="42"/>
      <x:c r="J247" s="42"/>
      <x:c r="K247" s="42"/>
      <x:c r="L247" s="42"/>
      <x:c r="M247" s="42"/>
      <x:c r="N247" s="42"/>
      <x:c r="O247" s="42"/>
      <x:c r="P247" s="42"/>
      <x:c r="Q247" s="42"/>
      <x:c r="R247" s="42"/>
      <x:c r="S247" s="42"/>
    </x:row>
    <x:row r="248">
      <x:c r="A248" s="42"/>
      <x:c r="B248" s="42"/>
      <x:c r="C248" s="42"/>
      <x:c r="D248" s="42"/>
      <x:c r="E248" s="42"/>
      <x:c r="F248" s="42"/>
      <x:c r="G248" s="42"/>
      <x:c r="H248" s="42"/>
      <x:c r="I248" s="42"/>
      <x:c r="J248" s="42"/>
      <x:c r="K248" s="42"/>
      <x:c r="L248" s="42"/>
      <x:c r="M248" s="42"/>
      <x:c r="N248" s="42"/>
      <x:c r="O248" s="42"/>
      <x:c r="P248" s="42"/>
      <x:c r="Q248" s="42"/>
      <x:c r="R248" s="42"/>
      <x:c r="S248" s="42"/>
    </x:row>
    <x:row r="249">
      <x:c r="A249" s="42"/>
      <x:c r="B249" s="42"/>
      <x:c r="C249" s="42"/>
      <x:c r="D249" s="42"/>
      <x:c r="E249" s="42"/>
      <x:c r="F249" s="42"/>
      <x:c r="G249" s="42"/>
      <x:c r="H249" s="42"/>
      <x:c r="I249" s="42"/>
      <x:c r="J249" s="42"/>
      <x:c r="K249" s="42"/>
      <x:c r="L249" s="42"/>
      <x:c r="M249" s="42"/>
      <x:c r="N249" s="42"/>
      <x:c r="O249" s="42"/>
      <x:c r="P249" s="42"/>
      <x:c r="Q249" s="42"/>
      <x:c r="R249" s="42"/>
      <x:c r="S249" s="42"/>
    </x:row>
    <x:row r="250">
      <x:c r="A250" s="42"/>
      <x:c r="B250" s="42"/>
      <x:c r="C250" s="42"/>
      <x:c r="D250" s="42"/>
      <x:c r="E250" s="42"/>
      <x:c r="F250" s="42"/>
      <x:c r="G250" s="42"/>
      <x:c r="H250" s="42"/>
      <x:c r="I250" s="42"/>
      <x:c r="J250" s="42"/>
      <x:c r="K250" s="42"/>
      <x:c r="L250" s="42"/>
      <x:c r="M250" s="42"/>
      <x:c r="N250" s="42"/>
      <x:c r="O250" s="42"/>
      <x:c r="P250" s="42"/>
      <x:c r="Q250" s="42"/>
      <x:c r="R250" s="42"/>
      <x:c r="S250" s="42"/>
    </x:row>
    <x:row r="251">
      <x:c r="A251" s="42"/>
      <x:c r="B251" s="42"/>
      <x:c r="C251" s="42"/>
      <x:c r="D251" s="42"/>
      <x:c r="E251" s="42"/>
      <x:c r="F251" s="42"/>
      <x:c r="G251" s="42"/>
      <x:c r="H251" s="42"/>
      <x:c r="I251" s="42"/>
      <x:c r="J251" s="42"/>
      <x:c r="K251" s="42"/>
      <x:c r="L251" s="42"/>
      <x:c r="M251" s="42"/>
      <x:c r="N251" s="42"/>
      <x:c r="O251" s="42"/>
      <x:c r="P251" s="42"/>
      <x:c r="Q251" s="42"/>
      <x:c r="R251" s="42"/>
      <x:c r="S251" s="42"/>
    </x:row>
    <x:row r="252">
      <x:c r="A252" s="42"/>
      <x:c r="B252" s="42"/>
      <x:c r="C252" s="42"/>
      <x:c r="D252" s="42"/>
      <x:c r="E252" s="42"/>
      <x:c r="F252" s="42"/>
      <x:c r="G252" s="42"/>
      <x:c r="H252" s="42"/>
      <x:c r="I252" s="42"/>
      <x:c r="J252" s="42"/>
      <x:c r="K252" s="42"/>
      <x:c r="L252" s="42"/>
      <x:c r="M252" s="42"/>
      <x:c r="N252" s="42"/>
      <x:c r="O252" s="42"/>
      <x:c r="P252" s="42"/>
      <x:c r="Q252" s="42"/>
      <x:c r="R252" s="42"/>
      <x:c r="S252" s="42"/>
    </x:row>
    <x:row r="253">
      <x:c r="A253" s="42"/>
      <x:c r="B253" s="42"/>
      <x:c r="C253" s="42"/>
      <x:c r="D253" s="42"/>
      <x:c r="E253" s="42"/>
      <x:c r="F253" s="42"/>
      <x:c r="G253" s="42"/>
      <x:c r="H253" s="42"/>
      <x:c r="I253" s="42"/>
      <x:c r="J253" s="42"/>
      <x:c r="K253" s="42"/>
      <x:c r="L253" s="42"/>
      <x:c r="M253" s="42"/>
      <x:c r="N253" s="42"/>
      <x:c r="O253" s="42"/>
      <x:c r="P253" s="42"/>
      <x:c r="Q253" s="42"/>
      <x:c r="R253" s="42"/>
      <x:c r="S253" s="42"/>
    </x:row>
    <x:row r="254">
      <x:c r="A254" s="42"/>
      <x:c r="B254" s="42"/>
      <x:c r="C254" s="42"/>
      <x:c r="D254" s="42"/>
      <x:c r="E254" s="42"/>
      <x:c r="F254" s="42"/>
      <x:c r="G254" s="42"/>
      <x:c r="H254" s="42"/>
      <x:c r="I254" s="42"/>
      <x:c r="J254" s="42"/>
      <x:c r="K254" s="42"/>
      <x:c r="L254" s="42"/>
      <x:c r="M254" s="42"/>
      <x:c r="N254" s="42"/>
      <x:c r="O254" s="42"/>
      <x:c r="P254" s="42"/>
      <x:c r="Q254" s="42"/>
      <x:c r="R254" s="42"/>
      <x:c r="S254" s="42"/>
    </x:row>
    <x:row r="255">
      <x:c r="A255" s="42"/>
      <x:c r="B255" s="42"/>
      <x:c r="C255" s="42"/>
      <x:c r="D255" s="42"/>
      <x:c r="E255" s="42"/>
      <x:c r="F255" s="42"/>
      <x:c r="G255" s="42"/>
      <x:c r="H255" s="42"/>
      <x:c r="I255" s="42"/>
      <x:c r="J255" s="42"/>
      <x:c r="K255" s="42"/>
      <x:c r="L255" s="42"/>
      <x:c r="M255" s="42"/>
      <x:c r="N255" s="42"/>
      <x:c r="O255" s="42"/>
      <x:c r="P255" s="42"/>
      <x:c r="Q255" s="42"/>
      <x:c r="R255" s="42"/>
      <x:c r="S255" s="42"/>
    </x:row>
    <x:row r="256">
      <x:c r="A256" s="42"/>
      <x:c r="B256" s="42"/>
      <x:c r="C256" s="42"/>
      <x:c r="D256" s="42"/>
      <x:c r="E256" s="42"/>
      <x:c r="F256" s="42"/>
      <x:c r="G256" s="42"/>
      <x:c r="H256" s="42"/>
      <x:c r="I256" s="42"/>
      <x:c r="J256" s="42"/>
      <x:c r="K256" s="42"/>
      <x:c r="L256" s="42"/>
      <x:c r="M256" s="42"/>
      <x:c r="N256" s="42"/>
      <x:c r="O256" s="42"/>
      <x:c r="P256" s="42"/>
      <x:c r="Q256" s="42"/>
      <x:c r="R256" s="42"/>
      <x:c r="S256" s="42"/>
    </x:row>
    <x:row r="257">
      <x:c r="A257" s="42"/>
      <x:c r="B257" s="42"/>
      <x:c r="C257" s="42"/>
      <x:c r="D257" s="42"/>
      <x:c r="E257" s="42"/>
      <x:c r="F257" s="42"/>
      <x:c r="G257" s="42"/>
      <x:c r="H257" s="42"/>
      <x:c r="I257" s="42"/>
      <x:c r="J257" s="42"/>
      <x:c r="K257" s="42"/>
      <x:c r="L257" s="42"/>
      <x:c r="M257" s="42"/>
      <x:c r="N257" s="42"/>
      <x:c r="O257" s="42"/>
      <x:c r="P257" s="42"/>
      <x:c r="Q257" s="42"/>
      <x:c r="R257" s="42"/>
      <x:c r="S257" s="42"/>
    </x:row>
    <x:row r="258">
      <x:c r="A258" s="42"/>
      <x:c r="B258" s="42"/>
      <x:c r="C258" s="42"/>
      <x:c r="D258" s="42"/>
      <x:c r="E258" s="42"/>
      <x:c r="F258" s="42"/>
      <x:c r="G258" s="42"/>
      <x:c r="H258" s="42"/>
      <x:c r="I258" s="42"/>
      <x:c r="J258" s="42"/>
      <x:c r="K258" s="42"/>
      <x:c r="L258" s="42"/>
      <x:c r="M258" s="42"/>
      <x:c r="N258" s="42"/>
      <x:c r="O258" s="42"/>
      <x:c r="P258" s="42"/>
      <x:c r="Q258" s="42"/>
      <x:c r="R258" s="42"/>
      <x:c r="S258" s="42"/>
    </x:row>
    <x:row r="259">
      <x:c r="A259" s="42"/>
      <x:c r="B259" s="42"/>
      <x:c r="C259" s="42"/>
      <x:c r="D259" s="42"/>
      <x:c r="E259" s="42"/>
      <x:c r="F259" s="42"/>
      <x:c r="G259" s="42"/>
      <x:c r="H259" s="42"/>
      <x:c r="I259" s="42"/>
      <x:c r="J259" s="42"/>
      <x:c r="K259" s="42"/>
      <x:c r="L259" s="42"/>
      <x:c r="M259" s="42"/>
      <x:c r="N259" s="42"/>
      <x:c r="O259" s="42"/>
      <x:c r="P259" s="42"/>
      <x:c r="Q259" s="42"/>
      <x:c r="R259" s="42"/>
      <x:c r="S259" s="42"/>
    </x:row>
    <x:row r="260">
      <x:c r="A260" s="42"/>
      <x:c r="B260" s="42"/>
      <x:c r="C260" s="42"/>
      <x:c r="D260" s="42"/>
      <x:c r="E260" s="42"/>
      <x:c r="F260" s="42"/>
      <x:c r="G260" s="42"/>
      <x:c r="H260" s="42"/>
      <x:c r="I260" s="42"/>
      <x:c r="J260" s="42"/>
      <x:c r="K260" s="42"/>
      <x:c r="L260" s="42"/>
      <x:c r="M260" s="42"/>
      <x:c r="N260" s="42"/>
      <x:c r="O260" s="42"/>
      <x:c r="P260" s="42"/>
      <x:c r="Q260" s="42"/>
      <x:c r="R260" s="42"/>
      <x:c r="S260" s="42"/>
    </x:row>
    <x:row r="261">
      <x:c r="A261" s="42"/>
      <x:c r="B261" s="42"/>
      <x:c r="C261" s="42"/>
      <x:c r="D261" s="42"/>
      <x:c r="E261" s="42"/>
      <x:c r="F261" s="42"/>
      <x:c r="G261" s="42"/>
      <x:c r="H261" s="42"/>
      <x:c r="I261" s="42"/>
      <x:c r="J261" s="42"/>
      <x:c r="K261" s="42"/>
      <x:c r="L261" s="42"/>
      <x:c r="M261" s="42"/>
      <x:c r="N261" s="42"/>
      <x:c r="O261" s="42"/>
      <x:c r="P261" s="42"/>
      <x:c r="Q261" s="42"/>
      <x:c r="R261" s="42"/>
      <x:c r="S261" s="42"/>
    </x:row>
    <x:row r="262">
      <x:c r="A262" s="42"/>
      <x:c r="B262" s="42"/>
      <x:c r="C262" s="42"/>
      <x:c r="D262" s="42"/>
      <x:c r="E262" s="42"/>
      <x:c r="F262" s="42"/>
      <x:c r="G262" s="42"/>
      <x:c r="H262" s="42"/>
      <x:c r="I262" s="42"/>
      <x:c r="J262" s="42"/>
      <x:c r="K262" s="42"/>
      <x:c r="L262" s="42"/>
      <x:c r="M262" s="42"/>
      <x:c r="N262" s="42"/>
      <x:c r="O262" s="42"/>
      <x:c r="P262" s="42"/>
      <x:c r="Q262" s="42"/>
      <x:c r="R262" s="42"/>
      <x:c r="S262" s="42"/>
    </x:row>
    <x:row r="263">
      <x:c r="A263" s="42"/>
      <x:c r="B263" s="42"/>
      <x:c r="C263" s="42"/>
      <x:c r="D263" s="42"/>
      <x:c r="E263" s="42"/>
      <x:c r="F263" s="42"/>
      <x:c r="G263" s="42"/>
      <x:c r="H263" s="42"/>
      <x:c r="I263" s="42"/>
      <x:c r="J263" s="42"/>
      <x:c r="K263" s="42"/>
      <x:c r="L263" s="42"/>
      <x:c r="M263" s="42"/>
      <x:c r="N263" s="42"/>
      <x:c r="O263" s="42"/>
      <x:c r="P263" s="42"/>
      <x:c r="Q263" s="42"/>
      <x:c r="R263" s="42"/>
      <x:c r="S263" s="42"/>
    </x:row>
    <x:row r="264">
      <x:c r="A264" s="42"/>
      <x:c r="B264" s="42"/>
      <x:c r="C264" s="42"/>
      <x:c r="D264" s="42"/>
      <x:c r="E264" s="42"/>
      <x:c r="F264" s="42"/>
      <x:c r="G264" s="42"/>
      <x:c r="H264" s="42"/>
      <x:c r="I264" s="42"/>
      <x:c r="J264" s="42"/>
      <x:c r="K264" s="42"/>
      <x:c r="L264" s="42"/>
      <x:c r="M264" s="42"/>
      <x:c r="N264" s="42"/>
      <x:c r="O264" s="42"/>
      <x:c r="P264" s="42"/>
      <x:c r="Q264" s="42"/>
      <x:c r="R264" s="42"/>
      <x:c r="S264" s="42"/>
    </x:row>
    <x:row r="265">
      <x:c r="A265" s="42"/>
      <x:c r="B265" s="42"/>
      <x:c r="C265" s="42"/>
      <x:c r="D265" s="42"/>
      <x:c r="E265" s="42"/>
      <x:c r="F265" s="42"/>
      <x:c r="G265" s="42"/>
      <x:c r="H265" s="42"/>
      <x:c r="I265" s="42"/>
      <x:c r="J265" s="42"/>
      <x:c r="K265" s="42"/>
      <x:c r="L265" s="42"/>
      <x:c r="M265" s="42"/>
      <x:c r="N265" s="42"/>
      <x:c r="O265" s="42"/>
      <x:c r="P265" s="42"/>
      <x:c r="Q265" s="42"/>
      <x:c r="R265" s="42"/>
      <x:c r="S265" s="42"/>
    </x:row>
    <x:row r="266">
      <x:c r="A266" s="42"/>
      <x:c r="B266" s="42"/>
      <x:c r="C266" s="42"/>
      <x:c r="D266" s="42"/>
      <x:c r="E266" s="42"/>
      <x:c r="F266" s="42"/>
      <x:c r="G266" s="42"/>
      <x:c r="H266" s="42"/>
      <x:c r="I266" s="42"/>
      <x:c r="J266" s="42"/>
      <x:c r="K266" s="42"/>
      <x:c r="L266" s="42"/>
      <x:c r="M266" s="42"/>
      <x:c r="N266" s="42"/>
      <x:c r="O266" s="42"/>
      <x:c r="P266" s="42"/>
      <x:c r="Q266" s="42"/>
      <x:c r="R266" s="42"/>
      <x:c r="S266" s="42"/>
    </x:row>
    <x:row r="267">
      <x:c r="A267" s="42"/>
      <x:c r="B267" s="42"/>
      <x:c r="C267" s="42"/>
      <x:c r="D267" s="42"/>
      <x:c r="E267" s="42"/>
      <x:c r="F267" s="42"/>
      <x:c r="G267" s="42"/>
      <x:c r="H267" s="42"/>
      <x:c r="I267" s="42"/>
      <x:c r="J267" s="42"/>
      <x:c r="K267" s="42"/>
      <x:c r="L267" s="42"/>
      <x:c r="M267" s="42"/>
      <x:c r="N267" s="42"/>
      <x:c r="O267" s="42"/>
      <x:c r="P267" s="42"/>
      <x:c r="Q267" s="42"/>
      <x:c r="R267" s="42"/>
      <x:c r="S267" s="42"/>
    </x:row>
    <x:row r="268">
      <x:c r="A268" s="42"/>
      <x:c r="B268" s="42"/>
      <x:c r="C268" s="42"/>
      <x:c r="D268" s="42"/>
      <x:c r="E268" s="42"/>
      <x:c r="F268" s="42"/>
      <x:c r="G268" s="42"/>
      <x:c r="H268" s="42"/>
      <x:c r="I268" s="42"/>
      <x:c r="J268" s="42"/>
      <x:c r="K268" s="42"/>
      <x:c r="L268" s="42"/>
      <x:c r="M268" s="42"/>
      <x:c r="N268" s="42"/>
      <x:c r="O268" s="42"/>
      <x:c r="P268" s="42"/>
      <x:c r="Q268" s="42"/>
      <x:c r="R268" s="42"/>
      <x:c r="S268" s="42"/>
    </x:row>
    <x:row r="269">
      <x:c r="A269" s="42"/>
      <x:c r="B269" s="42"/>
      <x:c r="C269" s="42"/>
      <x:c r="D269" s="42"/>
      <x:c r="E269" s="42"/>
      <x:c r="F269" s="42"/>
      <x:c r="G269" s="42"/>
      <x:c r="H269" s="42"/>
      <x:c r="I269" s="42"/>
      <x:c r="J269" s="42"/>
      <x:c r="K269" s="42"/>
      <x:c r="L269" s="42"/>
      <x:c r="M269" s="42"/>
      <x:c r="N269" s="42"/>
      <x:c r="O269" s="42"/>
      <x:c r="P269" s="42"/>
      <x:c r="Q269" s="42"/>
      <x:c r="R269" s="42"/>
      <x:c r="S269" s="42"/>
    </x:row>
    <x:row r="270">
      <x:c r="A270" s="42"/>
      <x:c r="B270" s="42"/>
      <x:c r="C270" s="42"/>
      <x:c r="D270" s="42"/>
      <x:c r="E270" s="42"/>
      <x:c r="F270" s="42"/>
      <x:c r="G270" s="42"/>
      <x:c r="H270" s="42"/>
      <x:c r="I270" s="42"/>
      <x:c r="J270" s="42"/>
      <x:c r="K270" s="42"/>
      <x:c r="L270" s="42"/>
      <x:c r="M270" s="42"/>
      <x:c r="N270" s="42"/>
      <x:c r="O270" s="42"/>
      <x:c r="P270" s="42"/>
      <x:c r="Q270" s="42"/>
      <x:c r="R270" s="42"/>
      <x:c r="S270" s="42"/>
    </x:row>
    <x:row r="271">
      <x:c r="A271" s="42"/>
      <x:c r="B271" s="42"/>
      <x:c r="C271" s="42"/>
      <x:c r="D271" s="42"/>
      <x:c r="E271" s="42"/>
      <x:c r="F271" s="42"/>
      <x:c r="G271" s="42"/>
      <x:c r="H271" s="42"/>
      <x:c r="I271" s="42"/>
      <x:c r="J271" s="42"/>
      <x:c r="K271" s="42"/>
      <x:c r="L271" s="42"/>
      <x:c r="M271" s="42"/>
      <x:c r="N271" s="42"/>
      <x:c r="O271" s="42"/>
      <x:c r="P271" s="42"/>
      <x:c r="Q271" s="42"/>
      <x:c r="R271" s="42"/>
      <x:c r="S271" s="42"/>
    </x:row>
    <x:row r="272">
      <x:c r="A272" s="42"/>
      <x:c r="B272" s="42"/>
      <x:c r="C272" s="42"/>
      <x:c r="D272" s="42"/>
      <x:c r="E272" s="42"/>
      <x:c r="F272" s="42"/>
      <x:c r="G272" s="42"/>
      <x:c r="H272" s="42"/>
      <x:c r="I272" s="42"/>
      <x:c r="J272" s="42"/>
      <x:c r="K272" s="42"/>
      <x:c r="L272" s="42"/>
      <x:c r="M272" s="42"/>
      <x:c r="N272" s="42"/>
      <x:c r="O272" s="42"/>
      <x:c r="P272" s="42"/>
      <x:c r="Q272" s="42"/>
      <x:c r="R272" s="42"/>
      <x:c r="S272" s="42"/>
    </x:row>
    <x:row r="273">
      <x:c r="A273" s="42"/>
      <x:c r="B273" s="42"/>
      <x:c r="C273" s="42"/>
      <x:c r="D273" s="42"/>
      <x:c r="E273" s="42"/>
      <x:c r="F273" s="42"/>
      <x:c r="G273" s="42"/>
      <x:c r="H273" s="42"/>
      <x:c r="I273" s="42"/>
      <x:c r="J273" s="42"/>
      <x:c r="K273" s="42"/>
      <x:c r="L273" s="42"/>
      <x:c r="M273" s="42"/>
      <x:c r="N273" s="42"/>
      <x:c r="O273" s="42"/>
      <x:c r="P273" s="42"/>
      <x:c r="Q273" s="42"/>
      <x:c r="R273" s="42"/>
      <x:c r="S273" s="42"/>
    </x:row>
    <x:row r="274">
      <x:c r="A274" s="42"/>
      <x:c r="B274" s="42"/>
      <x:c r="C274" s="42"/>
      <x:c r="D274" s="42"/>
      <x:c r="E274" s="42"/>
      <x:c r="F274" s="42"/>
      <x:c r="G274" s="42"/>
      <x:c r="H274" s="42"/>
      <x:c r="I274" s="42"/>
      <x:c r="J274" s="42"/>
      <x:c r="K274" s="42"/>
      <x:c r="L274" s="42"/>
      <x:c r="M274" s="42"/>
      <x:c r="N274" s="42"/>
      <x:c r="O274" s="42"/>
      <x:c r="P274" s="42"/>
      <x:c r="Q274" s="42"/>
      <x:c r="R274" s="42"/>
      <x:c r="S274" s="42"/>
    </x:row>
    <x:row r="275">
      <x:c r="A275" s="42"/>
      <x:c r="B275" s="42"/>
      <x:c r="C275" s="42"/>
      <x:c r="D275" s="42"/>
      <x:c r="E275" s="42"/>
      <x:c r="F275" s="42"/>
      <x:c r="G275" s="42"/>
      <x:c r="H275" s="42"/>
      <x:c r="I275" s="42"/>
      <x:c r="J275" s="42"/>
      <x:c r="K275" s="42"/>
      <x:c r="L275" s="42"/>
      <x:c r="M275" s="42"/>
      <x:c r="N275" s="42"/>
      <x:c r="O275" s="42"/>
      <x:c r="P275" s="42"/>
      <x:c r="Q275" s="42"/>
      <x:c r="R275" s="42"/>
      <x:c r="S275" s="42"/>
    </x:row>
    <x:row r="276">
      <x:c r="A276" s="42"/>
      <x:c r="B276" s="42"/>
      <x:c r="C276" s="42"/>
      <x:c r="D276" s="42"/>
      <x:c r="E276" s="42"/>
      <x:c r="F276" s="42"/>
      <x:c r="G276" s="42"/>
      <x:c r="H276" s="42"/>
      <x:c r="I276" s="42"/>
      <x:c r="J276" s="42"/>
      <x:c r="K276" s="42"/>
      <x:c r="L276" s="42"/>
      <x:c r="M276" s="42"/>
      <x:c r="N276" s="42"/>
      <x:c r="O276" s="42"/>
      <x:c r="P276" s="42"/>
      <x:c r="Q276" s="42"/>
      <x:c r="R276" s="42"/>
      <x:c r="S276" s="42"/>
    </x:row>
    <x:row r="277">
      <x:c r="A277" s="42"/>
      <x:c r="B277" s="42"/>
      <x:c r="C277" s="42"/>
      <x:c r="D277" s="42"/>
      <x:c r="E277" s="42"/>
      <x:c r="F277" s="42"/>
      <x:c r="G277" s="42"/>
      <x:c r="H277" s="42"/>
      <x:c r="I277" s="42"/>
      <x:c r="J277" s="42"/>
      <x:c r="K277" s="42"/>
      <x:c r="L277" s="42"/>
      <x:c r="M277" s="42"/>
      <x:c r="N277" s="42"/>
      <x:c r="O277" s="42"/>
      <x:c r="P277" s="42"/>
      <x:c r="Q277" s="42"/>
      <x:c r="R277" s="42"/>
      <x:c r="S277" s="42"/>
    </x:row>
    <x:row r="278">
      <x:c r="A278" s="42"/>
      <x:c r="B278" s="42"/>
      <x:c r="C278" s="42"/>
      <x:c r="D278" s="42"/>
      <x:c r="E278" s="42"/>
      <x:c r="F278" s="42"/>
      <x:c r="G278" s="42"/>
      <x:c r="H278" s="42"/>
      <x:c r="I278" s="42"/>
      <x:c r="J278" s="42"/>
      <x:c r="K278" s="42"/>
      <x:c r="L278" s="42"/>
      <x:c r="M278" s="42"/>
      <x:c r="N278" s="42"/>
      <x:c r="O278" s="42"/>
      <x:c r="P278" s="42"/>
      <x:c r="Q278" s="42"/>
      <x:c r="R278" s="42"/>
      <x:c r="S278" s="42"/>
    </x:row>
    <x:row r="279">
      <x:c r="A279" s="42"/>
      <x:c r="B279" s="42"/>
      <x:c r="C279" s="42"/>
      <x:c r="D279" s="42"/>
      <x:c r="E279" s="42"/>
      <x:c r="F279" s="42"/>
      <x:c r="G279" s="42"/>
      <x:c r="H279" s="42"/>
      <x:c r="I279" s="42"/>
      <x:c r="J279" s="42"/>
      <x:c r="K279" s="42"/>
      <x:c r="L279" s="42"/>
      <x:c r="M279" s="42"/>
      <x:c r="N279" s="42"/>
      <x:c r="O279" s="42"/>
      <x:c r="P279" s="42"/>
      <x:c r="Q279" s="42"/>
      <x:c r="R279" s="42"/>
      <x:c r="S279" s="42"/>
    </x:row>
    <x:row r="280">
      <x:c r="A280" s="42"/>
      <x:c r="B280" s="42"/>
      <x:c r="C280" s="42"/>
      <x:c r="D280" s="42"/>
      <x:c r="E280" s="42"/>
      <x:c r="F280" s="42"/>
      <x:c r="G280" s="42"/>
      <x:c r="H280" s="42"/>
      <x:c r="I280" s="42"/>
      <x:c r="J280" s="42"/>
      <x:c r="K280" s="42"/>
      <x:c r="L280" s="42"/>
      <x:c r="M280" s="42"/>
      <x:c r="N280" s="42"/>
      <x:c r="O280" s="42"/>
      <x:c r="P280" s="42"/>
      <x:c r="Q280" s="42"/>
      <x:c r="R280" s="42"/>
      <x:c r="S280" s="42"/>
    </x:row>
    <x:row r="281">
      <x:c r="A281" s="42"/>
      <x:c r="B281" s="42"/>
      <x:c r="C281" s="42"/>
      <x:c r="D281" s="42"/>
      <x:c r="E281" s="42"/>
      <x:c r="F281" s="42"/>
      <x:c r="G281" s="42"/>
      <x:c r="H281" s="42"/>
      <x:c r="I281" s="42"/>
      <x:c r="J281" s="42"/>
      <x:c r="K281" s="42"/>
      <x:c r="L281" s="42"/>
      <x:c r="M281" s="42"/>
      <x:c r="N281" s="42"/>
      <x:c r="O281" s="42"/>
      <x:c r="P281" s="42"/>
      <x:c r="Q281" s="42"/>
      <x:c r="R281" s="42"/>
      <x:c r="S281" s="42"/>
    </x:row>
    <x:row r="282">
      <x:c r="A282" s="42"/>
      <x:c r="B282" s="42"/>
      <x:c r="C282" s="42"/>
      <x:c r="D282" s="42"/>
      <x:c r="E282" s="42"/>
      <x:c r="F282" s="42"/>
      <x:c r="G282" s="42"/>
      <x:c r="H282" s="42"/>
      <x:c r="I282" s="42"/>
      <x:c r="J282" s="42"/>
      <x:c r="K282" s="42"/>
      <x:c r="L282" s="42"/>
      <x:c r="M282" s="42"/>
      <x:c r="N282" s="42"/>
      <x:c r="O282" s="42"/>
      <x:c r="P282" s="42"/>
      <x:c r="Q282" s="42"/>
      <x:c r="R282" s="42"/>
      <x:c r="S282" s="42"/>
    </x:row>
    <x:row r="283">
      <x:c r="A283" s="42"/>
      <x:c r="B283" s="42"/>
      <x:c r="C283" s="42"/>
      <x:c r="D283" s="42"/>
      <x:c r="E283" s="42"/>
      <x:c r="F283" s="42"/>
      <x:c r="G283" s="42"/>
      <x:c r="H283" s="42"/>
      <x:c r="I283" s="42"/>
      <x:c r="J283" s="42"/>
      <x:c r="K283" s="42"/>
      <x:c r="L283" s="42"/>
      <x:c r="M283" s="42"/>
      <x:c r="N283" s="42"/>
      <x:c r="O283" s="42"/>
      <x:c r="P283" s="42"/>
      <x:c r="Q283" s="42"/>
      <x:c r="R283" s="42"/>
      <x:c r="S283" s="42"/>
    </x:row>
    <x:row r="284">
      <x:c r="A284" s="42"/>
      <x:c r="B284" s="42"/>
      <x:c r="C284" s="42"/>
      <x:c r="D284" s="42"/>
      <x:c r="E284" s="42"/>
      <x:c r="F284" s="42"/>
      <x:c r="G284" s="42"/>
      <x:c r="H284" s="42"/>
      <x:c r="I284" s="42"/>
      <x:c r="J284" s="42"/>
      <x:c r="K284" s="42"/>
      <x:c r="L284" s="42"/>
      <x:c r="M284" s="42"/>
      <x:c r="N284" s="42"/>
      <x:c r="O284" s="42"/>
      <x:c r="P284" s="42"/>
      <x:c r="Q284" s="42"/>
      <x:c r="R284" s="42"/>
      <x:c r="S284" s="42"/>
    </x:row>
    <x:row r="285">
      <x:c r="A285" s="42"/>
      <x:c r="B285" s="42"/>
      <x:c r="C285" s="42"/>
      <x:c r="D285" s="42"/>
      <x:c r="E285" s="42"/>
      <x:c r="F285" s="42"/>
      <x:c r="G285" s="42"/>
      <x:c r="H285" s="42"/>
      <x:c r="I285" s="42"/>
      <x:c r="J285" s="42"/>
      <x:c r="K285" s="42"/>
      <x:c r="L285" s="42"/>
      <x:c r="M285" s="42"/>
      <x:c r="N285" s="42"/>
      <x:c r="O285" s="42"/>
      <x:c r="P285" s="42"/>
      <x:c r="Q285" s="42"/>
      <x:c r="R285" s="42"/>
      <x:c r="S285" s="42"/>
    </x:row>
    <x:row r="286">
      <x:c r="A286" s="42"/>
      <x:c r="B286" s="42"/>
      <x:c r="C286" s="42"/>
      <x:c r="D286" s="42"/>
      <x:c r="E286" s="42"/>
      <x:c r="F286" s="42"/>
      <x:c r="G286" s="42"/>
      <x:c r="H286" s="42"/>
      <x:c r="I286" s="42"/>
      <x:c r="J286" s="42"/>
      <x:c r="K286" s="42"/>
      <x:c r="L286" s="42"/>
      <x:c r="M286" s="42"/>
      <x:c r="N286" s="42"/>
      <x:c r="O286" s="42"/>
      <x:c r="P286" s="42"/>
      <x:c r="Q286" s="42"/>
      <x:c r="R286" s="42"/>
      <x:c r="S286" s="42"/>
    </x:row>
    <x:row r="287">
      <x:c r="A287" s="42"/>
      <x:c r="B287" s="42"/>
      <x:c r="C287" s="42"/>
      <x:c r="D287" s="42"/>
      <x:c r="E287" s="42"/>
      <x:c r="F287" s="42"/>
      <x:c r="G287" s="42"/>
      <x:c r="H287" s="42"/>
      <x:c r="I287" s="42"/>
      <x:c r="J287" s="42"/>
      <x:c r="K287" s="42"/>
      <x:c r="L287" s="42"/>
      <x:c r="M287" s="42"/>
      <x:c r="N287" s="42"/>
      <x:c r="O287" s="42"/>
      <x:c r="P287" s="42"/>
      <x:c r="Q287" s="42"/>
      <x:c r="R287" s="42"/>
      <x:c r="S287" s="42"/>
    </x:row>
    <x:row r="288">
      <x:c r="A288" s="42"/>
      <x:c r="B288" s="42"/>
      <x:c r="C288" s="42"/>
      <x:c r="D288" s="42"/>
      <x:c r="E288" s="42"/>
      <x:c r="F288" s="42"/>
      <x:c r="G288" s="42"/>
      <x:c r="H288" s="42"/>
      <x:c r="I288" s="42"/>
      <x:c r="J288" s="42"/>
      <x:c r="K288" s="42"/>
      <x:c r="L288" s="42"/>
      <x:c r="M288" s="42"/>
      <x:c r="N288" s="42"/>
      <x:c r="O288" s="42"/>
      <x:c r="P288" s="42"/>
      <x:c r="Q288" s="42"/>
      <x:c r="R288" s="42"/>
      <x:c r="S288" s="42"/>
    </x:row>
    <x:row r="289">
      <x:c r="A289" s="42"/>
      <x:c r="B289" s="42"/>
      <x:c r="C289" s="42"/>
      <x:c r="D289" s="42"/>
      <x:c r="E289" s="42"/>
      <x:c r="F289" s="42"/>
      <x:c r="G289" s="42"/>
      <x:c r="H289" s="42"/>
      <x:c r="I289" s="42"/>
      <x:c r="J289" s="42"/>
      <x:c r="K289" s="42"/>
      <x:c r="L289" s="42"/>
      <x:c r="M289" s="42"/>
      <x:c r="N289" s="42"/>
      <x:c r="O289" s="42"/>
      <x:c r="P289" s="42"/>
      <x:c r="Q289" s="42"/>
      <x:c r="R289" s="42"/>
      <x:c r="S289" s="42"/>
    </x:row>
    <x:row r="290">
      <x:c r="A290" s="42"/>
      <x:c r="B290" s="42"/>
      <x:c r="C290" s="42"/>
      <x:c r="D290" s="42"/>
      <x:c r="E290" s="42"/>
      <x:c r="F290" s="42"/>
      <x:c r="G290" s="42"/>
      <x:c r="H290" s="42"/>
      <x:c r="I290" s="42"/>
      <x:c r="J290" s="42"/>
      <x:c r="K290" s="42"/>
      <x:c r="L290" s="42"/>
      <x:c r="M290" s="42"/>
      <x:c r="N290" s="42"/>
      <x:c r="O290" s="42"/>
      <x:c r="P290" s="42"/>
      <x:c r="Q290" s="42"/>
      <x:c r="R290" s="42"/>
      <x:c r="S290" s="42"/>
    </x:row>
    <x:row r="291">
      <x:c r="A291" s="42"/>
      <x:c r="B291" s="42"/>
      <x:c r="C291" s="42"/>
      <x:c r="D291" s="42"/>
      <x:c r="E291" s="42"/>
      <x:c r="F291" s="42"/>
      <x:c r="G291" s="42"/>
      <x:c r="H291" s="42"/>
      <x:c r="I291" s="42"/>
      <x:c r="J291" s="42"/>
      <x:c r="K291" s="42"/>
      <x:c r="L291" s="42"/>
      <x:c r="M291" s="42"/>
      <x:c r="N291" s="42"/>
      <x:c r="O291" s="42"/>
      <x:c r="P291" s="42"/>
      <x:c r="Q291" s="42"/>
      <x:c r="R291" s="42"/>
      <x:c r="S291" s="42"/>
    </x:row>
    <x:row r="292">
      <x:c r="A292" s="42"/>
      <x:c r="B292" s="42"/>
      <x:c r="C292" s="42"/>
      <x:c r="D292" s="42"/>
      <x:c r="E292" s="42"/>
      <x:c r="F292" s="42"/>
      <x:c r="G292" s="42"/>
      <x:c r="H292" s="42"/>
      <x:c r="I292" s="42"/>
      <x:c r="J292" s="42"/>
      <x:c r="K292" s="42"/>
      <x:c r="L292" s="42"/>
      <x:c r="M292" s="42"/>
      <x:c r="N292" s="42"/>
      <x:c r="O292" s="42"/>
      <x:c r="P292" s="42"/>
      <x:c r="Q292" s="42"/>
      <x:c r="R292" s="42"/>
      <x:c r="S292" s="42"/>
    </x:row>
    <x:row r="293">
      <x:c r="A293" s="42"/>
      <x:c r="B293" s="42"/>
      <x:c r="C293" s="42"/>
      <x:c r="D293" s="42"/>
      <x:c r="E293" s="42"/>
      <x:c r="F293" s="42"/>
      <x:c r="G293" s="42"/>
      <x:c r="H293" s="42"/>
      <x:c r="I293" s="42"/>
      <x:c r="J293" s="42"/>
      <x:c r="K293" s="42"/>
      <x:c r="L293" s="42"/>
      <x:c r="M293" s="42"/>
      <x:c r="N293" s="42"/>
      <x:c r="O293" s="42"/>
      <x:c r="P293" s="42"/>
      <x:c r="Q293" s="42"/>
      <x:c r="R293" s="42"/>
      <x:c r="S293" s="42"/>
    </x:row>
    <x:row r="294">
      <x:c r="A294" s="42"/>
      <x:c r="B294" s="42"/>
      <x:c r="C294" s="42"/>
      <x:c r="D294" s="42"/>
      <x:c r="E294" s="42"/>
      <x:c r="F294" s="42"/>
      <x:c r="G294" s="42"/>
      <x:c r="H294" s="42"/>
      <x:c r="I294" s="42"/>
      <x:c r="J294" s="42"/>
      <x:c r="K294" s="42"/>
      <x:c r="L294" s="42"/>
      <x:c r="M294" s="42"/>
      <x:c r="N294" s="42"/>
      <x:c r="O294" s="42"/>
      <x:c r="P294" s="42"/>
      <x:c r="Q294" s="42"/>
      <x:c r="R294" s="42"/>
      <x:c r="S294" s="42"/>
    </x:row>
    <x:row r="295">
      <x:c r="A295" s="42"/>
      <x:c r="B295" s="42"/>
      <x:c r="C295" s="42"/>
      <x:c r="D295" s="42"/>
      <x:c r="E295" s="42"/>
      <x:c r="F295" s="42"/>
      <x:c r="G295" s="42"/>
      <x:c r="H295" s="42"/>
      <x:c r="I295" s="42"/>
      <x:c r="J295" s="42"/>
      <x:c r="K295" s="42"/>
      <x:c r="L295" s="42"/>
      <x:c r="M295" s="42"/>
      <x:c r="N295" s="42"/>
      <x:c r="O295" s="42"/>
      <x:c r="P295" s="42"/>
      <x:c r="Q295" s="42"/>
      <x:c r="R295" s="42"/>
      <x:c r="S295" s="42"/>
    </x:row>
    <x:row r="296">
      <x:c r="A296" s="42"/>
      <x:c r="B296" s="42"/>
      <x:c r="C296" s="42"/>
      <x:c r="D296" s="42"/>
      <x:c r="E296" s="42"/>
      <x:c r="F296" s="42"/>
      <x:c r="G296" s="42"/>
      <x:c r="H296" s="42"/>
      <x:c r="I296" s="42"/>
      <x:c r="J296" s="42"/>
      <x:c r="K296" s="42"/>
      <x:c r="L296" s="42"/>
      <x:c r="M296" s="42"/>
      <x:c r="N296" s="42"/>
      <x:c r="O296" s="42"/>
      <x:c r="P296" s="42"/>
      <x:c r="Q296" s="42"/>
      <x:c r="R296" s="42"/>
      <x:c r="S296" s="42"/>
    </x:row>
    <x:row r="297">
      <x:c r="A297" s="42"/>
      <x:c r="B297" s="42"/>
      <x:c r="C297" s="42"/>
      <x:c r="D297" s="42"/>
      <x:c r="E297" s="42"/>
      <x:c r="F297" s="42"/>
      <x:c r="G297" s="42"/>
      <x:c r="H297" s="42"/>
      <x:c r="I297" s="42"/>
      <x:c r="J297" s="42"/>
      <x:c r="K297" s="42"/>
      <x:c r="L297" s="42"/>
      <x:c r="M297" s="42"/>
      <x:c r="N297" s="42"/>
      <x:c r="O297" s="42"/>
      <x:c r="P297" s="42"/>
      <x:c r="Q297" s="42"/>
      <x:c r="R297" s="42"/>
      <x:c r="S297" s="42"/>
    </x:row>
    <x:row r="298">
      <x:c r="A298" s="42"/>
      <x:c r="B298" s="42"/>
      <x:c r="C298" s="42"/>
      <x:c r="D298" s="42"/>
      <x:c r="E298" s="42"/>
      <x:c r="F298" s="42"/>
      <x:c r="G298" s="42"/>
      <x:c r="H298" s="42"/>
      <x:c r="I298" s="42"/>
      <x:c r="J298" s="42"/>
      <x:c r="K298" s="42"/>
      <x:c r="L298" s="42"/>
      <x:c r="M298" s="42"/>
      <x:c r="N298" s="42"/>
      <x:c r="O298" s="42"/>
      <x:c r="P298" s="42"/>
      <x:c r="Q298" s="42"/>
      <x:c r="R298" s="42"/>
      <x:c r="S298" s="42"/>
    </x:row>
    <x:row r="299">
      <x:c r="A299" s="42"/>
      <x:c r="B299" s="42"/>
      <x:c r="C299" s="42"/>
      <x:c r="D299" s="42"/>
      <x:c r="E299" s="42"/>
      <x:c r="F299" s="42"/>
      <x:c r="G299" s="42"/>
      <x:c r="H299" s="42"/>
      <x:c r="I299" s="42"/>
      <x:c r="J299" s="42"/>
      <x:c r="K299" s="42"/>
      <x:c r="L299" s="42"/>
      <x:c r="M299" s="42"/>
      <x:c r="N299" s="42"/>
      <x:c r="O299" s="42"/>
      <x:c r="P299" s="42"/>
      <x:c r="Q299" s="42"/>
      <x:c r="R299" s="42"/>
      <x:c r="S299" s="42"/>
    </x:row>
    <x:row r="300">
      <x:c r="A300" s="43"/>
      <x:c r="B300" s="43"/>
      <x:c r="C300" s="43"/>
      <x:c r="D300" s="43"/>
      <x:c r="E300" s="43"/>
      <x:c r="F300" s="43"/>
      <x:c r="G300" s="43"/>
      <x:c r="H300" s="43"/>
      <x:c r="I300" s="43"/>
      <x:c r="J300" s="43"/>
      <x:c r="K300" s="43"/>
      <x:c r="L300" s="43"/>
      <x:c r="M300" s="43"/>
      <x:c r="N300" s="43"/>
      <x:c r="O300" s="43"/>
      <x:c r="P300" s="43"/>
      <x:c r="Q300" s="43"/>
      <x:c r="R300" s="43"/>
      <x:c r="S300" s="43"/>
    </x:row>
  </x:sheetData>
  <x:mergeCells>
    <x:mergeCell ref="A1:S1"/>
    <x:mergeCell ref="A3:S3"/>
  </x:mergeCells>
  <x:conditionalFormatting sqref="I6:L300">
    <x:cfRule type="containsText" dxfId="4" priority="1" operator="containsText" text="Verified"/>
    <x:cfRule type="containsText" dxfId="5" priority="2" operator="containsText" text="Pass"/>
    <x:cfRule type="containsText" dxfId="6" priority="3" operator="containsText" text="Fail"/>
    <x:cfRule type="containsText" dxfId="7" priority="4" operator="containsText" text="Blocked"/>
  </x:conditionalFormatting>
  <x:dataValidations count="1">
    <x:dataValidation type="list" sqref="I6:L300">
      <x:formula1>"Not run,Pass,Fail,Blocked,Not applicable"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8" hidden="0" customWidth="1"/>
    <x:col min="4" max="4" width="16" hidden="0" customWidth="1"/>
    <x:col min="5" max="5" width="10" hidden="0" customWidth="1"/>
    <x:col min="6" max="6" width="34" hidden="0" customWidth="1"/>
    <x:col min="7" max="7" width="40" hidden="0" customWidth="1"/>
    <x:col min="8" max="8" width="34" hidden="0" customWidth="1"/>
    <x:col min="9" max="9" width="34" hidden="0" customWidth="1"/>
    <x:col min="10" max="10" width="34" hidden="0" customWidth="1"/>
    <x:col min="11" max="11" width="20" hidden="0" customWidth="1"/>
    <x:col min="12" max="12" width="14" hidden="0" customWidth="1"/>
    <x:col min="13" max="13" width="14" hidden="0" customWidth="1"/>
    <x:col min="14" max="14" width="18" hidden="0" customWidth="1"/>
    <x:col min="15" max="15" width="16" hidden="0" customWidth="1"/>
    <x:col min="16" max="16" width="14" hidden="0" customWidth="1"/>
    <x:col min="17" max="17" width="14" hidden="0" customWidth="1"/>
    <x:col min="18" max="18" width="30" hidden="0" customWidth="1"/>
  </x:cols>
  <x:sheetData>
    <x:row r="1" ht="28" customHeight="1">
      <x:c r="A1" s="4" t="str">
        <x:v>Defects</x:v>
      </x:c>
      <x:c r="B1" s="4"/>
      <x:c r="C1" s="4"/>
      <x:c r="D1" s="4"/>
      <x:c r="E1" s="4"/>
      <x:c r="F1" s="4"/>
      <x:c r="G1" s="4"/>
      <x:c r="H1" s="4"/>
      <x:c r="I1" s="4"/>
      <x:c r="J1" s="4"/>
      <x:c r="K1" s="4"/>
      <x:c r="L1" s="4"/>
      <x:c r="M1" s="4"/>
      <x:c r="N1" s="4"/>
      <x:c r="O1" s="4"/>
      <x:c r="P1" s="4"/>
      <x:c r="Q1" s="4"/>
      <x:c r="R1" s="4"/>
    </x:row>
    <x:row r="2">
      <x:c r="A2" s="10" t="str">
        <x:v>Unresolved defects</x:v>
      </x:c>
      <x:c r="B2" s="11" t="n">
        <x:f>COUNTIF(L6:L300,"Open")+COUNTIF(L6:L300,"Fixing")+COUNTIF(L6:L300,"Fixed")+COUNTIF(L6:L300,"Deferred")</x:f>
        <x:v>76</x:v>
      </x:c>
      <x:c r="C2" s="11"/>
      <x:c r="D2" s="11" t="str">
        <x:v>Fixed defects</x:v>
      </x:c>
      <x:c r="E2" s="11" t="n">
        <x:f>COUNTIF(L6:L300,"Fixed")</x:f>
        <x:v>63</x:v>
      </x:c>
      <x:c r="F2" s="11"/>
      <x:c r="G2" s="11" t="str">
        <x:v>Closed defects</x:v>
      </x:c>
      <x:c r="H2" s="12" t="n">
        <x:f>COUNTIF(L6:L300,"Closed")</x:f>
        <x:v>19</x:v>
      </x:c>
    </x:row>
    <x:row r="3" ht="28" customHeight="1">
      <x:c r="A3" s="7" t="str">
        <x:v>Log every reproducible functional, UX, visual, privacy, and accessibility error. Link it to its failed run and retest.</x:v>
      </x:c>
      <x:c r="B3" s="7"/>
      <x:c r="C3" s="7"/>
      <x:c r="D3" s="7"/>
      <x:c r="E3" s="7"/>
      <x:c r="F3" s="7"/>
      <x:c r="G3" s="7"/>
      <x:c r="H3" s="7"/>
      <x:c r="I3" s="7"/>
      <x:c r="J3" s="7"/>
      <x:c r="K3" s="7"/>
      <x:c r="L3" s="7"/>
      <x:c r="M3" s="7"/>
      <x:c r="N3" s="7"/>
      <x:c r="O3" s="7"/>
      <x:c r="P3" s="7"/>
      <x:c r="Q3" s="7"/>
      <x:c r="R3" s="7"/>
    </x:row>
    <x:row r="5" ht="34" customHeight="1">
      <x:c r="A5" s="31" t="str">
        <x:v>Defect ID</x:v>
      </x:c>
      <x:c r="B5" s="32" t="str">
        <x:v>Found in run</x:v>
      </x:c>
      <x:c r="C5" s="32" t="str">
        <x:v>Story IDs</x:v>
      </x:c>
      <x:c r="D5" s="32" t="str">
        <x:v>Type</x:v>
      </x:c>
      <x:c r="E5" s="32" t="str">
        <x:v>Severity</x:v>
      </x:c>
      <x:c r="F5" s="32" t="str">
        <x:v>Summary</x:v>
      </x:c>
      <x:c r="G5" s="32" t="str">
        <x:v>Reproduction steps</x:v>
      </x:c>
      <x:c r="H5" s="32" t="str">
        <x:v>Expected behavior</x:v>
      </x:c>
      <x:c r="I5" s="32" t="str">
        <x:v>Actual behavior</x:v>
      </x:c>
      <x:c r="J5" s="32" t="str">
        <x:v>Root cause</x:v>
      </x:c>
      <x:c r="K5" s="32" t="str">
        <x:v>Fix reference</x:v>
      </x:c>
      <x:c r="L5" s="32" t="str">
        <x:v>Status</x:v>
      </x:c>
      <x:c r="M5" s="32" t="str">
        <x:v>Retest run</x:v>
      </x:c>
      <x:c r="N5" s="32" t="str">
        <x:v>Evidence IDs</x:v>
      </x:c>
      <x:c r="O5" s="32" t="str">
        <x:v>Owner</x:v>
      </x:c>
      <x:c r="P5" s="32" t="str">
        <x:v>Found date</x:v>
      </x:c>
      <x:c r="Q5" s="32" t="str">
        <x:v>Closed date</x:v>
      </x:c>
      <x:c r="R5" s="33" t="str">
        <x:v>Notes</x:v>
      </x:c>
    </x:row>
    <x:row r="6">
      <x:c r="A6" s="41" t="str">
        <x:v>DEF-001</x:v>
      </x:c>
      <x:c r="B6" s="41" t="str">
        <x:v>TR-HARNESS-001</x:v>
      </x:c>
      <x:c r="C6" s="41" t="str">
        <x:v>REL-004</x:v>
      </x:c>
      <x:c r="D6" s="41" t="str">
        <x:v>Logistical</x:v>
      </x:c>
      <x:c r="E6" s="41" t="str">
        <x:v>P3</x:v>
      </x:c>
      <x:c r="F6" s="41" t="str">
        <x:v>Recording wrapper exited before running the probe</x:v>
      </x:c>
      <x:c r="G6" s="41" t="str">
        <x:v>Run Tools/run-dock-probe.sh while its return variable is named status under zsh</x:v>
      </x:c>
      <x:c r="H6" s="41" t="str">
        <x:v>The wrapper records the complete probe and returns its exit code</x:v>
      </x:c>
      <x:c r="I6" s="41" t="str">
        <x:v>zsh rejected assignment to its read-only status parameter. The live Dock probe did not start.</x:v>
      </x:c>
      <x:c r="J6" s="41" t="str">
        <x:v>The wrapper used a reserved zsh parameter name.</x:v>
      </x:c>
      <x:c r="K6" s="41" t="str">
        <x:v>Tools/run-dock-probe.sh uses probe_status</x:v>
      </x:c>
      <x:c r="L6" s="41" t="str">
        <x:v>Closed</x:v>
      </x:c>
      <x:c r="M6" s="41" t="str">
        <x:v>TR-P0-002</x:v>
      </x:c>
      <x:c r="N6" s="41" t="str">
        <x:v>EV-P0-002</x:v>
      </x:c>
      <x:c r="O6" s="41" t="str">
        <x:v>root</x:v>
      </x:c>
      <x:c r="P6" s="53" t="n">
        <x:v>46268.947761875</x:v>
      </x:c>
      <x:c r="Q6" s="41" t="n">
        <x:v>46268.947761875</x:v>
      </x:c>
      <x:c r="R6" s="41" t="str">
        <x:v>Fixed before any Dock mutation. The retest produced a 12.008-second 3600 by 260 recording and passed.</x:v>
      </x:c>
    </x:row>
    <x:row r="7">
      <x:c r="A7" s="42" t="str">
        <x:v>DEF-002</x:v>
      </x:c>
      <x:c r="B7" s="42" t="str">
        <x:v>TR-CORE-STORE-001</x:v>
      </x:c>
      <x:c r="C7" s="42" t="str">
        <x:v>PRV-001</x:v>
      </x:c>
      <x:c r="D7" s="42" t="str">
        <x:v>Functional</x:v>
      </x:c>
      <x:c r="E7" s="42" t="str">
        <x:v>P1</x:v>
      </x:c>
      <x:c r="F7" s="42" t="str">
        <x:v>Local store changed profile timestamps on round trip</x:v>
      </x:c>
      <x:c r="G7" s="42" t="str">
        <x:v>Persist a newly created profile, reload immediately, and compare it to the source library</x:v>
      </x:c>
      <x:c r="H7" s="42" t="str">
        <x:v>The saved and loaded library are equal</x:v>
      </x:c>
      <x:c r="I7" s="42" t="str">
        <x:v>ISO 8601 encoding dropped fractional seconds and equality failed</x:v>
      </x:c>
      <x:c r="J7" s="42" t="str">
        <x:v>The ISO 8601 date strategy omitted subsecond precision</x:v>
      </x:c>
      <x:c r="K7" s="42" t="str">
        <x:v>Sources/DockitCore/DockLibraryStore.swift</x:v>
      </x:c>
      <x:c r="L7" s="42" t="str">
        <x:v>Closed</x:v>
      </x:c>
      <x:c r="M7" s="42" t="str">
        <x:v>TR-CORE-STORE-002</x:v>
      </x:c>
      <x:c r="N7" s="42" t="str"/>
      <x:c r="O7" s="42" t="str">
        <x:v>Codex</x:v>
      </x:c>
      <x:c r="P7" s="52" t="n">
        <x:v>46268.9580721875</x:v>
      </x:c>
      <x:c r="Q7" s="42" t="n">
        <x:v>46268.9580721875</x:v>
      </x:c>
      <x:c r="R7" s="42" t="str">
        <x:v>Use Foundation's numeric Date encoding to preserve full precision</x:v>
      </x:c>
    </x:row>
    <x:row r="8">
      <x:c r="A8" s="42" t="str">
        <x:v>DEF-003</x:v>
      </x:c>
      <x:c r="B8" s="42" t="str">
        <x:v>TR-UI-001</x:v>
      </x:c>
      <x:c r="C8" s="42" t="str">
        <x:v>MEN-005</x:v>
      </x:c>
      <x:c r="D8" s="42" t="str">
        <x:v>Visual</x:v>
      </x:c>
      <x:c r="E8" s="42" t="str">
        <x:v>P2</x:v>
      </x:c>
      <x:c r="F8" s="42" t="str">
        <x:v>Profile color menu showed a misleading white swatch</x:v>
      </x:c>
      <x:c r="G8" s="42" t="str">
        <x:v>Select the green Reading profile and inspect the Color pop-up button in dark appearance</x:v>
      </x:c>
      <x:c r="H8" s="42" t="str">
        <x:v>The control names the selected green color without showing a conflicting color</x:v>
      </x:c>
      <x:c r="I8" s="42" t="str">
        <x:v>The menu displayed a white swatch next to Green and repeated Reading in the title bar</x:v>
      </x:c>
      <x:c r="J8" s="42" t="str">
        <x:v>A styled SF Symbol inside Picker options did not retain its tint in the collapsed native pop-up label</x:v>
      </x:c>
      <x:c r="K8" s="42" t="str">
        <x:v>Sources/Dockit/ProfileDetailView.swift</x:v>
      </x:c>
      <x:c r="L8" s="42" t="str">
        <x:v>Closed</x:v>
      </x:c>
      <x:c r="M8" s="42" t="str">
        <x:v>TR-UI-002</x:v>
      </x:c>
      <x:c r="N8" s="42" t="str">
        <x:v>EV-UI-001, EV-UI-002</x:v>
      </x:c>
      <x:c r="O8" s="42" t="str">
        <x:v>Codex</x:v>
      </x:c>
      <x:c r="P8" s="52" t="n">
        <x:v>46268.95814892361</x:v>
      </x:c>
      <x:c r="Q8" s="42" t="n">
        <x:v>46268.95814892361</x:v>
      </x:c>
      <x:c r="R8" s="42" t="str">
        <x:v>Removed the redundant swatch and kept profile color visible in the header and sidebar. Set the window title to dockit so the editable profile name appears once.</x:v>
      </x:c>
    </x:row>
    <x:row r="9">
      <x:c r="A9" s="42" t="str">
        <x:v>DEF-004</x:v>
      </x:c>
      <x:c r="B9" s="42" t="str">
        <x:v>TR-SETUP-001</x:v>
      </x:c>
      <x:c r="C9" s="42" t="str">
        <x:v>FOC-007</x:v>
      </x:c>
      <x:c r="D9" s="42" t="str">
        <x:v>UX</x:v>
      </x:c>
      <x:c r="E9" s="42" t="str">
        <x:v>P1</x:v>
      </x:c>
      <x:c r="F9" s="42" t="str">
        <x:v>Leaving launch at login off produced a false setup error</x:v>
      </x:c>
      <x:c r="G9" s="42" t="str">
        <x:v>Start with no login item, clear Open dockit at login, then save the first Dock</x:v>
      </x:c>
      <x:c r="H9" s="42" t="str">
        <x:v>dockit captures the current Dock without changing login-item state or showing an error</x:v>
      </x:c>
      <x:c r="I9" s="42" t="str">
        <x:v>dockit tried to unregister an already-disabled login item and showed an Operation not permitted alert, then saved the profile</x:v>
      </x:c>
      <x:c r="J9" s="42" t="str">
        <x:v>The setting always called unregister even when SMAppService already reported notRegistered</x:v>
      </x:c>
      <x:c r="K9" s="42" t="str">
        <x:v>Sources/Dockit/AppModel.swift</x:v>
      </x:c>
      <x:c r="L9" s="42" t="str">
        <x:v>Closed</x:v>
      </x:c>
      <x:c r="M9" s="42" t="str">
        <x:v>TR-SETUP-002</x:v>
      </x:c>
      <x:c r="N9" s="42" t="str">
        <x:v>EV-UI-003</x:v>
      </x:c>
      <x:c r="O9" s="42" t="str">
        <x:v>Codex</x:v>
      </x:c>
      <x:c r="P9" s="52" t="n">
        <x:v>46268.9620994213</x:v>
      </x:c>
      <x:c r="Q9" s="42" t="n">
        <x:v>46268.9620994213</x:v>
      </x:c>
      <x:c r="R9" s="42" t="str">
        <x:v>The setting now changes SMAppService only when the requested state differs.</x:v>
      </x:c>
    </x:row>
    <x:row r="10">
      <x:c r="A10" s="42" t="str">
        <x:v>DEF-005</x:v>
      </x:c>
      <x:c r="B10" s="42" t="str">
        <x:v>TR-FOCUS-HOST-001</x:v>
      </x:c>
      <x:c r="C10" s="42" t="str">
        <x:v>FOC-001</x:v>
      </x:c>
      <x:c r="D10" s="42" t="str">
        <x:v>Integration</x:v>
      </x:c>
      <x:c r="E10" s="42" t="str">
        <x:v>P0</x:v>
      </x:c>
      <x:c r="F10" s="42" t="str">
        <x:v>System Settings could not load dockit's Focus filter.</x:v>
      </x:c>
      <x:c r="G10" s="42" t="str">
        <x:v>Build the extension without App Sandbox, open a Focus, add a dockit filter, and observe the load error.</x:v>
      </x:c>
      <x:c r="H10" s="42" t="str">
        <x:v>The filter loads and reads the local profile catalog.</x:v>
      </x:c>
      <x:c r="I10" s="42" t="str">
        <x:v>The extension host rejected the extension before configuration appeared.</x:v>
      </x:c>
      <x:c r="J10" s="42" t="str">
        <x:v>The App Intents Focus extension was not sandboxed as required by the system extension host.</x:v>
      </x:c>
      <x:c r="K10" s="42" t="str">
        <x:v>project.yml; Configuration/DockitFocusExtension.entitlements</x:v>
      </x:c>
      <x:c r="L10" s="42" t="str">
        <x:v>Closed</x:v>
      </x:c>
      <x:c r="M10" s="42" t="str">
        <x:v>TR-FOCUS-HOST-002</x:v>
      </x:c>
      <x:c r="N10" s="42" t="str">
        <x:v>EV-FOCUS-004</x:v>
      </x:c>
      <x:c r="O10" s="42" t="str">
        <x:v>root</x:v>
      </x:c>
      <x:c r="P10" s="52" t="n">
        <x:v>46269.0958315625</x:v>
      </x:c>
      <x:c r="Q10" s="42" t="n">
        <x:v>46269.0958315625</x:v>
      </x:c>
      <x:c r="R10" s="42" t="str">
        <x:v>The sandboxed extension now opens and resolves the App Group catalog. End-to-end Focus activation remains a separate gate.</x:v>
      </x:c>
    </x:row>
    <x:row r="11">
      <x:c r="A11" s="42" t="str">
        <x:v>DEF-006</x:v>
      </x:c>
      <x:c r="B11" s="42" t="str">
        <x:v>TR-CODE-AUDIT-001</x:v>
      </x:c>
      <x:c r="C11" s="42" t="str">
        <x:v>PRF-025</x:v>
      </x:c>
      <x:c r="D11" s="42" t="str">
        <x:v>Data integrity</x:v>
      </x:c>
      <x:c r="E11" s="42" t="str">
        <x:v>P0</x:v>
      </x:c>
      <x:c r="F11" s="42" t="str">
        <x:v>Profile saves and Dock applies could overwrite one another, while rapid switches were dropped.</x:v>
      </x:c>
      <x:c r="G11" s="42" t="str">
        <x:v>Start a Dock switch, then trigger rename, create, delete, import, recovery, or another switch before the reload completes.</x:v>
      </x:c>
      <x:c r="H11" s="42" t="str">
        <x:v>Operations serialize and the latest queued switch runs after the active transaction.</x:v>
      </x:c>
      <x:c r="I11" s="42" t="str">
        <x:v>Independent in-memory copies wrote the same file and later actions could erase recovery state.</x:v>
      </x:c>
      <x:c r="J11" s="42" t="str">
        <x:v>AppModel used isApplying as a UI hint, not as a complete mutation gate, and rejected concurrent activation requests.</x:v>
      </x:c>
      <x:c r="K11" s="42" t="str">
        <x:v>Sources/Dockit/AppModel.swift</x:v>
      </x:c>
      <x:c r="L11" s="42" t="str">
        <x:v>Fixed</x:v>
      </x:c>
      <x:c r="M11" s="42" t="str"/>
      <x:c r="N11" s="42" t="str">
        <x:v>EV-MOTION-001</x:v>
      </x:c>
      <x:c r="O11" s="42" t="str">
        <x:v>root</x:v>
      </x:c>
      <x:c r="P11" s="52" t="n">
        <x:v>46269.095831631945</x:v>
      </x:c>
      <x:c r="Q11" s="52" t="str"/>
      <x:c r="R11" s="42" t="str">
        <x:v>Source serialization and latest-request queueing remain implemented. The prior movie contains only one activation, so it is not an accepted retest. Record two requests and inspect every stored profile sequence before closing this defect.</x:v>
      </x:c>
    </x:row>
    <x:row r="12">
      <x:c r="A12" s="42" t="str">
        <x:v>DEF-007</x:v>
      </x:c>
      <x:c r="B12" s="42" t="str">
        <x:v>TR-CODE-AUDIT-001</x:v>
      </x:c>
      <x:c r="C12" s="42" t="str">
        <x:v>REL-002</x:v>
      </x:c>
      <x:c r="D12" s="42" t="str">
        <x:v>Recovery</x:v>
      </x:c>
      <x:c r="E12" s="42" t="str">
        <x:v>P0</x:v>
      </x:c>
      <x:c r="F12" s="42" t="str">
        <x:v>The persisted recovery target could differ from the snapshot actually written to the Dock.</x:v>
      </x:c>
      <x:c r="G12" s="42" t="str">
        <x:v>Apply a profile containing a newly generated app or spacer tile, then interrupt before the final library save.</x:v>
      </x:c>
      <x:c r="H12" s="42" t="str">
        <x:v>Launch recovery recognizes the exact snapshot that was written.</x:v>
      </x:c>
      <x:c r="I12" s="42" t="str">
        <x:v>Two builds generated different random Dock GUIDs, so equality could fail after a completed write.</x:v>
      </x:c>
      <x:c r="J12" s="42" t="str">
        <x:v>DockActivationService prepared one snapshot and DockApplyCoordinator independently rebuilt another.</x:v>
      </x:c>
      <x:c r="K12" s="42" t="str">
        <x:v>Sources/DockitCore/DockApplyCoordinator.swift; Sources/DockitCore/DockActivationService.swift</x:v>
      </x:c>
      <x:c r="L12" s="42" t="str">
        <x:v>Closed</x:v>
      </x:c>
      <x:c r="M12" s="42" t="str">
        <x:v>TR-CORE-SAFETY-001</x:v>
      </x:c>
      <x:c r="N12" s="42" t="str"/>
      <x:c r="O12" s="42" t="str">
        <x:v>root</x:v>
      </x:c>
      <x:c r="P12" s="52" t="n">
        <x:v>46269.09583165509</x:v>
      </x:c>
      <x:c r="Q12" s="42" t="n">
        <x:v>46269.09583165509</x:v>
      </x:c>
      <x:c r="R12" s="42"/>
    </x:row>
    <x:row r="13">
      <x:c r="A13" s="42" t="str">
        <x:v>DEF-008</x:v>
      </x:c>
      <x:c r="B13" s="42" t="str">
        <x:v>TR-CODE-AUDIT-001</x:v>
      </x:c>
      <x:c r="C13" s="42" t="str">
        <x:v>PRF-018</x:v>
      </x:c>
      <x:c r="D13" s="42" t="str">
        <x:v>Persistence</x:v>
      </x:c>
      <x:c r="E13" s="42" t="str">
        <x:v>P0</x:v>
      </x:c>
      <x:c r="F13" s="42" t="str">
        <x:v>A one-time autosave failure permanently dropped the observed Dock edit.</x:v>
      </x:c>
      <x:c r="G13" s="42" t="str">
        <x:v>Change the Dock while dockit runs and inject one capture or store failure in the callback.</x:v>
      </x:c>
      <x:c r="H13" s="42" t="str">
        <x:v>The same Dock state is retried until it is persisted or replaced by a newer change.</x:v>
      </x:c>
      <x:c r="I13" s="42" t="str">
        <x:v>The monitor advanced its previous snapshot before the callback reported success.</x:v>
      </x:c>
      <x:c r="J13" s="42" t="str">
        <x:v>DockChangeMonitor had no success acknowledgement from its persistence callback.</x:v>
      </x:c>
      <x:c r="K13" s="42" t="str">
        <x:v>Sources/DockitCore/DockChangeMonitor.swift; Tests/DockitCoreTests/DockChangeMonitorTests.swift</x:v>
      </x:c>
      <x:c r="L13" s="42" t="str">
        <x:v>Closed</x:v>
      </x:c>
      <x:c r="M13" s="42" t="str">
        <x:v>TR-EDITOR-AUTOSAVE-001</x:v>
      </x:c>
      <x:c r="N13" s="42" t="str">
        <x:v>EV-EDITOR-005</x:v>
      </x:c>
      <x:c r="O13" s="42" t="str">
        <x:v>root</x:v>
      </x:c>
      <x:c r="P13" s="52" t="n">
        <x:v>46269.095831666666</x:v>
      </x:c>
      <x:c r="Q13" s="52" t="n">
        <x:v>46269.21474537037</x:v>
      </x:c>
      <x:c r="R13" s="42" t="str">
        <x:v>A real external Dock add was observed, persisted to the active profile, and reported in the UI.</x:v>
      </x:c>
    </x:row>
    <x:row r="14">
      <x:c r="A14" s="42" t="str">
        <x:v>DEF-009</x:v>
      </x:c>
      <x:c r="B14" s="42" t="str">
        <x:v>TR-CODE-AUDIT-001</x:v>
      </x:c>
      <x:c r="C14" s="42" t="str">
        <x:v>REL-001</x:v>
      </x:c>
      <x:c r="D14" s="42" t="str">
        <x:v>Data integrity</x:v>
      </x:c>
      <x:c r="E14" s="42" t="str">
        <x:v>P0</x:v>
      </x:c>
      <x:c r="F14" s="42" t="str">
        <x:v>Unreadable profile storage fell through to first setup and could be overwritten.</x:v>
      </x:c>
      <x:c r="G14" s="42" t="str">
        <x:v>Place invalid bytes at library.json, launch dockit, then create the first profile.</x:v>
      </x:c>
      <x:c r="H14" s="42" t="str">
        <x:v>dockit blocks writes, leaves the file unchanged, and offers a retry or recovery path.</x:v>
      </x:c>
      <x:c r="I14" s="42" t="str">
        <x:v>The startup alert dismissed into the empty setup flow, which could overwrite the unreadable file.</x:v>
      </x:c>
      <x:c r="J14" s="42" t="str">
        <x:v>Startup failure and a valid empty library shared the same UI state.</x:v>
      </x:c>
      <x:c r="K14" s="42" t="str">
        <x:v>Sources/Dockit/AppModel.swift; Sources/Dockit/ContentView.swift</x:v>
      </x:c>
      <x:c r="L14" s="42" t="str">
        <x:v>Fixed</x:v>
      </x:c>
      <x:c r="M14" s="42" t="str"/>
      <x:c r="N14" s="42" t="str"/>
      <x:c r="O14" s="42" t="str">
        <x:v>root</x:v>
      </x:c>
      <x:c r="P14" s="52" t="n">
        <x:v>46269.09583168982</x:v>
      </x:c>
      <x:c r="Q14" s="42" t="str"/>
      <x:c r="R14" s="42"/>
    </x:row>
    <x:row r="15">
      <x:c r="A15" s="42" t="str">
        <x:v>DEF-010</x:v>
      </x:c>
      <x:c r="B15" s="42" t="str">
        <x:v>TR-CODE-AUDIT-001</x:v>
      </x:c>
      <x:c r="C15" s="42" t="str">
        <x:v>MEN-003</x:v>
      </x:c>
      <x:c r="D15" s="42" t="str">
        <x:v>UX</x:v>
      </x:c>
      <x:c r="E15" s="42" t="str">
        <x:v>P1</x:v>
      </x:c>
      <x:c r="F15" s="42" t="str">
        <x:v>Open dockit and background errors could remain invisible after the last window closed.</x:v>
      </x:c>
      <x:c r="G15" s="42" t="str">
        <x:v>Close all dockit windows, use Open dockit from the menu bar, or force a switch failure from the Dock menu.</x:v>
      </x:c>
      <x:c r="H15" s="42" t="str">
        <x:v>A management window opens or comes forward and shows the result.</x:v>
      </x:c>
      <x:c r="I15" s="42" t="str">
        <x:v>Only NSApplication activation ran, which did not create a closed SwiftUI window.</x:v>
      </x:c>
      <x:c r="J15" s="42" t="str">
        <x:v>The menu path did not call SwiftUI's window-opening action.</x:v>
      </x:c>
      <x:c r="K15" s="42" t="str">
        <x:v>Sources/Dockit/DockitApp.swift; Sources/Dockit/DockMenuCoordinator.swift; Sources/Dockit/DockitCommands.swift</x:v>
      </x:c>
      <x:c r="L15" s="42" t="str">
        <x:v>Fixed</x:v>
      </x:c>
      <x:c r="M15" s="42" t="str"/>
      <x:c r="N15" s="42" t="str"/>
      <x:c r="O15" s="42" t="str">
        <x:v>root</x:v>
      </x:c>
      <x:c r="P15" s="52" t="n">
        <x:v>46269.09583170139</x:v>
      </x:c>
      <x:c r="Q15" s="42" t="str"/>
      <x:c r="R15" s="42"/>
    </x:row>
    <x:row r="16">
      <x:c r="A16" s="42" t="str">
        <x:v>DEF-011</x:v>
      </x:c>
      <x:c r="B16" s="42" t="str">
        <x:v>TR-CODE-AUDIT-001</x:v>
      </x:c>
      <x:c r="C16" s="42" t="str">
        <x:v>PRF-027</x:v>
      </x:c>
      <x:c r="D16" s="42" t="str">
        <x:v>Persistence</x:v>
      </x:c>
      <x:c r="E16" s="42" t="str">
        <x:v>P1</x:v>
      </x:c>
      <x:c r="F16" s="42" t="str">
        <x:v>Quitting inside the rename debounce window could lose the last profile edit.</x:v>
      </x:c>
      <x:c r="G16" s="42" t="str">
        <x:v>Rename or recolor a profile and quit dockit immediately.</x:v>
      </x:c>
      <x:c r="H16" s="42" t="str">
        <x:v>The last accepted edit is saved before termination.</x:v>
      </x:c>
      <x:c r="I16" s="42" t="str">
        <x:v>The delayed save task had no termination flush.</x:v>
      </x:c>
      <x:c r="J16" s="42" t="str">
        <x:v>The application delegate did not defer termination for pending profile persistence.</x:v>
      </x:c>
      <x:c r="K16" s="42" t="str">
        <x:v>Sources/Dockit/AppModel.swift; Sources/Dockit/DockMenuCoordinator.swift</x:v>
      </x:c>
      <x:c r="L16" s="42" t="str">
        <x:v>Fixed</x:v>
      </x:c>
      <x:c r="M16" s="42" t="str">
        <x:v>TR-LIFECYCLE-001</x:v>
      </x:c>
      <x:c r="N16" s="42" t="str">
        <x:v>EV-METADATA-001</x:v>
      </x:c>
      <x:c r="O16" s="42" t="str">
        <x:v>root</x:v>
      </x:c>
      <x:c r="P16" s="52" t="n">
        <x:v>46269.09583172454</x:v>
      </x:c>
      <x:c r="Q16" s="52" t="str"/>
      <x:c r="R16" s="42" t="str">
        <x:v>Normal quit and relaunch passed. Keep this Fixed until an immediate quit inside the rename or color debounce window is recorded.</x:v>
      </x:c>
    </x:row>
    <x:row r="17">
      <x:c r="A17" s="42" t="str">
        <x:v>DEF-012</x:v>
      </x:c>
      <x:c r="B17" s="42" t="str">
        <x:v>TR-CODE-AUDIT-001</x:v>
      </x:c>
      <x:c r="C17" s="42" t="str">
        <x:v>XFR-004</x:v>
      </x:c>
      <x:c r="D17" s="42" t="str">
        <x:v>Import safety</x:v>
      </x:c>
      <x:c r="E17" s="42" t="str">
        <x:v>P1</x:v>
      </x:c>
      <x:c r="F17" s="42" t="str">
        <x:v>Malformed imports could contain duplicate item IDs or invalid app fields.</x:v>
      </x:c>
      <x:c r="G17" s="42" t="str">
        <x:v>Import a valid-version archive with duplicate DockItem IDs, an empty app name, a relative app path, or a blank bundle identifier.</x:v>
      </x:c>
      <x:c r="H17" s="42" t="str">
        <x:v>Validation rejects the archive before the library or actual Dock changes.</x:v>
      </x:c>
      <x:c r="I17" s="42" t="str">
        <x:v>The schema checked profile IDs and names only.</x:v>
      </x:c>
      <x:c r="J17" s="42" t="str">
        <x:v>DockitArchive.validate did not validate each item identity and app payload.</x:v>
      </x:c>
      <x:c r="K17" s="42" t="str">
        <x:v>Sources/DockitCore/DockitArchive.swift; Sources/DockitCore/DockLibrary.swift</x:v>
      </x:c>
      <x:c r="L17" s="42" t="str">
        <x:v>Closed</x:v>
      </x:c>
      <x:c r="M17" s="42" t="str">
        <x:v>TR-CORE-SAFETY-001</x:v>
      </x:c>
      <x:c r="N17" s="42" t="str"/>
      <x:c r="O17" s="42" t="str">
        <x:v>root</x:v>
      </x:c>
      <x:c r="P17" s="52" t="n">
        <x:v>46269.09583174768</x:v>
      </x:c>
      <x:c r="Q17" s="42" t="n">
        <x:v>46269.09583174768</x:v>
      </x:c>
      <x:c r="R17" s="42"/>
    </x:row>
    <x:row r="18">
      <x:c r="A18" s="42" t="str">
        <x:v>DEF-013</x:v>
      </x:c>
      <x:c r="B18" s="42" t="str">
        <x:v>TR-P0-003-NONPROFILE-FAIL</x:v>
      </x:c>
      <x:c r="C18" s="42" t="str">
        <x:v>PRF-013, PRF-014, PRF-015, REL-001, REL-002</x:v>
      </x:c>
      <x:c r="D18" s="42" t="str">
        <x:v>Recovery</x:v>
      </x:c>
      <x:c r="E18" s="42" t="str">
        <x:v>P0</x:v>
      </x:c>
      <x:c r="F18" s="42" t="str">
        <x:v>A failed live probe did not complete a verified visible Dock recovery.</x:v>
      </x:c>
      <x:c r="G18" s="42" t="str">
        <x:v>Run the full non-profile fixture so the Dock reload fails or returns without a verified replacement process, then enter the restoration path.</x:v>
      </x:c>
      <x:c r="H18" s="42" t="str">
        <x:v>Recovery restores the exact preimage and forces a verified Dock reload even when stored pinned preferences already match.</x:v>
      </x:c>
      <x:c r="I18" s="42" t="str">
        <x:v>The visible Dock remained incomplete until manual recovery, even though the stored snapshot could already equal the backup.</x:v>
      </x:c>
      <x:c r="J18" s="42" t="str">
        <x:v>The recovery path could treat matching pinned preferences as a no-op and did not always require a new verified Dock process for full-domain restoration.</x:v>
      </x:c>
      <x:c r="K18" s="42" t="str">
        <x:v>Sources/DockitCore/DockApplyCoordinator.swift; Tools/DockProbe.swift; Tools/run-dock-probe.sh</x:v>
      </x:c>
      <x:c r="L18" s="42" t="str">
        <x:v>Closed</x:v>
      </x:c>
      <x:c r="M18" s="42" t="str">
        <x:v>TR-P0-003-NONPROFILE-PASS</x:v>
      </x:c>
      <x:c r="N18" s="42" t="str">
        <x:v>EV-P0-004, EV-P0-005, EV-P0-007</x:v>
      </x:c>
      <x:c r="O18" s="42" t="str">
        <x:v>root</x:v>
      </x:c>
      <x:c r="P18" s="52" t="n">
        <x:v>46269.18027777778</x:v>
      </x:c>
      <x:c r="Q18" s="52" t="n">
        <x:v>46269.20805555556</x:v>
      </x:c>
      <x:c r="R18" s="42" t="str">
        <x:v>The failed attempt was recovered before further testing. The final report and fully settled screenshot pass.</x:v>
      </x:c>
    </x:row>
    <x:row r="19">
      <x:c r="A19" s="42" t="str">
        <x:v>DEF-014</x:v>
      </x:c>
      <x:c r="B19" s="42" t="str">
        <x:v>TR-FOCUS-ORDER-AUDIT-001</x:v>
      </x:c>
      <x:c r="C19" s="42" t="str">
        <x:v>FOC-003, FOC-004, FOC-005</x:v>
      </x:c>
      <x:c r="D19" s="42" t="str">
        <x:v>Data integrity</x:v>
      </x:c>
      <x:c r="E19" s="42" t="str">
        <x:v>P1</x:v>
      </x:c>
      <x:c r="F19" s="42" t="str">
        <x:v>A newer Focus event could be discarded after a slower earlier Dock apply.</x:v>
      </x:c>
      <x:c r="G19" s="42" t="str">
        <x:v>Create a later Focus or Focus-off request while an earlier activation is still applying, then compare its creation time with activeProfile.appliedAt.</x:v>
      </x:c>
      <x:c r="H19" s="42" t="str">
        <x:v>Event creation time defines ordering, so the newest request remains eligible after the earlier apply completes.</x:v>
      </x:c>
      <x:c r="I19" s="42" t="str">
        <x:v>Using apply completion time could make the later queued request appear older and cause it to be acknowledged without handling.</x:v>
      </x:c>
      <x:c r="J19" s="42" t="str">
        <x:v>Activation persisted the completion timestamp instead of the Focus request timestamp.</x:v>
      </x:c>
      <x:c r="K19" s="42" t="str">
        <x:v>Sources/DockitCore/FocusBridgeStore.swift; Sources/DockitCore/DockActivationService.swift; Sources/Dockit/AppModel.swift; Tests/DockitCoreTests/DockActivationServiceTests.swift</x:v>
      </x:c>
      <x:c r="L19" s="42" t="str">
        <x:v>Fixed</x:v>
      </x:c>
      <x:c r="M19" s="42" t="str">
        <x:v>TR-FOCUS-CORE-001, TR-CORE-REGRESSION-004, TR-FOCUS-CLOSED-001, TR-FOCUS-CLOSED-002, TR-FOCUS-RACE-001</x:v>
      </x:c>
      <x:c r="N19" s="42" t="str">
        <x:v>EV-CORE-002, EV-FOCUS-016, EV-FOCUS-017, EV-FOCUS-018, EV-FOCUS-019</x:v>
      </x:c>
      <x:c r="O19" s="42" t="str">
        <x:v>root</x:v>
      </x:c>
      <x:c r="P19" s="52" t="n">
        <x:v>46269.229166666664</x:v>
      </x:c>
      <x:c r="Q19" s="52" t="str"/>
      <x:c r="R19" s="42" t="str">
        <x:v>The durable core regression and both closed-app queue directions passed. The near-simultaneous race capture lacks event timestamps, so the defect remains Fixed pending a conclusive recorded race.</x:v>
      </x:c>
    </x:row>
    <x:row r="20">
      <x:c r="A20" s="42" t="str">
        <x:v>DEF-015</x:v>
      </x:c>
      <x:c r="B20" s="42" t="str">
        <x:v>TR-FOCUS-ORDER-AUDIT-001</x:v>
      </x:c>
      <x:c r="C20" s="42" t="str">
        <x:v>FOC-003, FOC-004, FOC-005, REL-001</x:v>
      </x:c>
      <x:c r="D20" s="42" t="str">
        <x:v>Recovery</x:v>
      </x:c>
      <x:c r="E20" s="42" t="str">
        <x:v>P1</x:v>
      </x:c>
      <x:c r="F20" s="42" t="str">
        <x:v>One malformed Focus request could poison every later polling cycle.</x:v>
      </x:c>
      <x:c r="G20" s="42" t="str">
        <x:v>Place one damaged JSON file beside a valid request in Focus Requests and let the main app poll the batch.</x:v>
      </x:c>
      <x:c r="H20" s="42" t="str">
        <x:v>dockit isolates the damaged file, reports it, and continues with valid events.</x:v>
      </x:c>
      <x:c r="I20" s="42" t="str">
        <x:v>The batch read failed as a unit, so the valid request could not be processed and the same damaged file failed every later poll.</x:v>
      </x:c>
      <x:c r="J20" s="42" t="str">
        <x:v>FocusBridgeStore decoded the request directory as one all-or-nothing operation.</x:v>
      </x:c>
      <x:c r="K20" s="42" t="str">
        <x:v>Sources/DockitCore/FocusBridgeStore.swift; Sources/Dockit/AppModel.swift; Tests/DockitCoreTests/FocusBridgeStoreTests.swift</x:v>
      </x:c>
      <x:c r="L20" s="42" t="str">
        <x:v>Fixed</x:v>
      </x:c>
      <x:c r="M20" s="42" t="str">
        <x:v>TR-FOCUS-CORE-001, TR-CORE-REGRESSION-004</x:v>
      </x:c>
      <x:c r="N20" s="42" t="str">
        <x:v>EV-CORE-002</x:v>
      </x:c>
      <x:c r="O20" s="42" t="str">
        <x:v>root</x:v>
      </x:c>
      <x:c r="P20" s="52" t="n">
        <x:v>46269.229166666664</x:v>
      </x:c>
      <x:c r="Q20" s="52" t="str"/>
      <x:c r="R20" s="42" t="str">
        <x:v>The durable suite confirms damaged requests no longer block valid ones. Keep Fixed until a live malformed-request sweep records quarantine and later polling.</x:v>
      </x:c>
    </x:row>
    <x:row r="21">
      <x:c r="A21" s="42" t="str">
        <x:v>DEF-016</x:v>
      </x:c>
      <x:c r="B21" s="42" t="str">
        <x:v>TR-FOCUS-CONFIG-001</x:v>
      </x:c>
      <x:c r="C21" s="42" t="str">
        <x:v>FOC-001</x:v>
      </x:c>
      <x:c r="D21" s="42" t="str">
        <x:v>Integration</x:v>
      </x:c>
      <x:c r="E21" s="42" t="str">
        <x:v>P0</x:v>
      </x:c>
      <x:c r="F21" s="42" t="str">
        <x:v>The macOS AppEntity picker can require a second profile selection and show two checkmarks.</x:v>
      </x:c>
      <x:c r="G21" s="42" t="str">
        <x:v>Add dockit's Focus filter, open the Dock profile picker, and choose a different profile once.</x:v>
      </x:c>
      <x:c r="H21" s="42" t="str">
        <x:v>The picker resolves the clicked stable profile ID immediately and shows one selected row.</x:v>
      </x:c>
      <x:c r="I21" s="42" t="str">
        <x:v>System Settings can keep the prior entity after the click, show checkmarks on two rows, and resolve the new entity only after another selection.</x:v>
      </x:c>
      <x:c r="J21" s="42" t="str">
        <x:v>Removing suggestedFocusFilters did not change the stale first selection. Replacing EnumerableEntityQuery with plain EntityQuery made the picker blank. Stable UUIDs and the App Group catalog still resolve after retry, so the remaining blocker is macOS 26 System Settings selection refresh behavior.</x:v>
      </x:c>
      <x:c r="K21" s="42" t="str">
        <x:v>Sources/DockitFocusExtension/DockFocusFilterIntent.swift; TR-FOCUS-QUERY-AB-001; TR-FOCUS-QUERY-AB-002</x:v>
      </x:c>
      <x:c r="L21" s="42" t="str">
        <x:v>Open</x:v>
      </x:c>
      <x:c r="M21" s="42"/>
      <x:c r="N21" s="42" t="str">
        <x:v>EV-FOCUS-006, EV-FOCUS-007, EV-FOCUS-020</x:v>
      </x:c>
      <x:c r="O21" s="42" t="str">
        <x:v>root</x:v>
      </x:c>
      <x:c r="P21" s="52" t="n">
        <x:v>46269.24012731481</x:v>
      </x:c>
      <x:c r="Q21" s="52" t="str"/>
      <x:c r="R21" s="42" t="str">
        <x:v>Retain EnumerableEntityQuery because it is the only tested variant that populates the picker. The immediate single-selection blocker remains P0 and keeps FOC-001 blocked.</x:v>
      </x:c>
    </x:row>
    <x:row r="22">
      <x:c r="A22" s="42" t="str">
        <x:v>DEF-017</x:v>
      </x:c>
      <x:c r="B22" s="42" t="str">
        <x:v>TR-MISSING-APP-001</x:v>
      </x:c>
      <x:c r="C22" s="42" t="str">
        <x:v>XFR-006</x:v>
      </x:c>
      <x:c r="D22" s="42" t="str">
        <x:v>Visual</x:v>
      </x:c>
      <x:c r="E22" s="42" t="str">
        <x:v>P2</x:v>
      </x:c>
      <x:c r="F22" s="42" t="str">
        <x:v>The unavailable-app review showed empty placeholder rows.</x:v>
      </x:c>
      <x:c r="G22" s="42" t="str">
        <x:v>Import a profile containing unavailable Steam and request activation.</x:v>
      </x:c>
      <x:c r="H22" s="42" t="str">
        <x:v>The sheet lists only unavailable apps with explicit actions.</x:v>
      </x:c>
      <x:c r="I22" s="42" t="str">
        <x:v>Several empty bordered rows appeared below the single Steam entry.</x:v>
      </x:c>
      <x:c r="J22" s="42" t="str">
        <x:v>The list container reserved extra row height beyond the actual unavailable items.</x:v>
      </x:c>
      <x:c r="K22" s="42" t="str">
        <x:v>Sources/Dockit/MissingAppsView.swift</x:v>
      </x:c>
      <x:c r="L22" s="42" t="str">
        <x:v>Closed</x:v>
      </x:c>
      <x:c r="M22" s="42" t="str">
        <x:v>TR-MISSING-APP-002</x:v>
      </x:c>
      <x:c r="N22" s="42" t="str">
        <x:v>EV-MISSING-001, EV-MISSING-002, EV-MISSING-003</x:v>
      </x:c>
      <x:c r="O22" s="42" t="str">
        <x:v>root</x:v>
      </x:c>
      <x:c r="P22" s="52" t="n">
        <x:v>46269.1471875</x:v>
      </x:c>
      <x:c r="Q22" s="52" t="n">
        <x:v>46269.14818287037</x:v>
      </x:c>
      <x:c r="R22" s="42"/>
    </x:row>
    <x:row r="23">
      <x:c r="A23" s="42" t="str">
        <x:v>DEF-018</x:v>
      </x:c>
      <x:c r="B23" s="42" t="str">
        <x:v>TR-IMPORT-UI-001</x:v>
      </x:c>
      <x:c r="C23" s="42" t="str">
        <x:v>XFR-003, XFR-005, MEN-002</x:v>
      </x:c>
      <x:c r="D23" s="42" t="str">
        <x:v>Visual</x:v>
      </x:c>
      <x:c r="E23" s="42" t="str">
        <x:v>P2</x:v>
      </x:c>
      <x:c r="F23" s="42" t="str">
        <x:v>The first collision preview used excess list space and weak action hierarchy.</x:v>
      </x:c>
      <x:c r="G23" s="42" t="str">
        <x:v>Import two profiles whose names both collide and inspect the first preview layout.</x:v>
      </x:c>
      <x:c r="H23" s="42" t="str">
        <x:v>The compact native sheet keeps both renamed results and its primary action visible as one clear decision.</x:v>
      </x:c>
      <x:c r="I23" s="42" t="str">
        <x:v>Extra list space separated the explanation from the controls and made the sheet look unfinished.</x:v>
      </x:c>
      <x:c r="J23" s="42" t="str">
        <x:v>The preview list had a fixed frame larger than its two-row content.</x:v>
      </x:c>
      <x:c r="K23" s="42" t="str">
        <x:v>Sources/Dockit/ImportProfilesView.swift</x:v>
      </x:c>
      <x:c r="L23" s="42" t="str">
        <x:v>Closed</x:v>
      </x:c>
      <x:c r="M23" s="42" t="str">
        <x:v>TR-IMPORT-UI-002</x:v>
      </x:c>
      <x:c r="N23" s="42" t="str">
        <x:v>EV-IMPORT-001, EV-IMPORT-002, EV-IMPORT-003</x:v>
      </x:c>
      <x:c r="O23" s="42" t="str">
        <x:v>root</x:v>
      </x:c>
      <x:c r="P23" s="52" t="n">
        <x:v>46269.172800925924</x:v>
      </x:c>
      <x:c r="Q23" s="52" t="n">
        <x:v>46269.17359953704</x:v>
      </x:c>
      <x:c r="R23" s="42"/>
    </x:row>
    <x:row r="24">
      <x:c r="A24" s="42" t="str">
        <x:v>DEF-019</x:v>
      </x:c>
      <x:c r="B24" s="42" t="str">
        <x:v>TR-RECONCILE-APPLY-001</x:v>
      </x:c>
      <x:c r="C24" s="42" t="str">
        <x:v>PRF-026, PRF-032, REL-006</x:v>
      </x:c>
      <x:c r="D24" s="42" t="str">
        <x:v>Functional</x:v>
      </x:c>
      <x:c r="E24" s="42" t="str">
        <x:v>P1</x:v>
      </x:c>
      <x:c r="F24" s="42" t="str">
        <x:v>Apply Saved Dock could no-op during changed-while-closed reconciliation.</x:v>
      </x:c>
      <x:c r="G24" s="42" t="str">
        <x:v>Change the real Dock while dockit is closed, reopen, and choose Apply Saved Dock while the saved profile ID is still marked active.</x:v>
      </x:c>
      <x:c r="H24" s="42" t="str">
        <x:v>dockit force-applies the saved snapshot because the actual Dock is known to differ.</x:v>
      </x:c>
      <x:c r="I24" s="42" t="str">
        <x:v>The normal active-profile short circuit reported already active and skipped the Dock write.</x:v>
      </x:c>
      <x:c r="J24" s="42" t="str">
        <x:v>The reconciliation action called the ordinary activation path without forceApply.</x:v>
      </x:c>
      <x:c r="K24" s="42" t="str">
        <x:v>Sources/Dockit/AppModel.swift; Sources/DockitCore/DockActivationService.swift; Tests/DockitCoreTests/DockActivationServiceTests.swift</x:v>
      </x:c>
      <x:c r="L24" s="42" t="str">
        <x:v>Fixed</x:v>
      </x:c>
      <x:c r="M24" s="42" t="str">
        <x:v>TR-RECONCILE-APPLY-002</x:v>
      </x:c>
      <x:c r="N24" s="42" t="str">
        <x:v>EV-RECON-002, EV-RECON-003, EV-CORE-V2-001</x:v>
      </x:c>
      <x:c r="O24" s="42" t="str">
        <x:v>root</x:v>
      </x:c>
      <x:c r="P24" s="52" t="n">
        <x:v>46269.216944444444</x:v>
      </x:c>
      <x:c r="Q24" s="52"/>
      <x:c r="R24" s="42" t="str">
        <x:v>The reviewed-snapshot override and stale-baseline core tests pass. Keep Fixed until the full app reconciliation flow has fresh runtime evidence.</x:v>
      </x:c>
    </x:row>
    <x:row r="25">
      <x:c r="A25" s="42" t="str">
        <x:v>DEF-020</x:v>
      </x:c>
      <x:c r="B25" s="42" t="str">
        <x:v>TR-METADATA-001</x:v>
      </x:c>
      <x:c r="C25" s="42" t="str">
        <x:v>PRF-025, PRF-026</x:v>
      </x:c>
      <x:c r="D25" s="42" t="str">
        <x:v>Data integrity</x:v>
      </x:c>
      <x:c r="E25" s="42" t="str">
        <x:v>P1</x:v>
      </x:c>
      <x:c r="F25" s="42" t="str">
        <x:v>Dock-owned metadata normalization could look like a user layout edit.</x:v>
      </x:c>
      <x:c r="G25" s="42" t="str">
        <x:v>Compare two Dock snapshots with the same visible app and spacer sequence but different raw metadata fields.</x:v>
      </x:c>
      <x:c r="H25" s="42" t="str">
        <x:v>Apply, monitor, and relaunch compare layout identity and ignore irrelevant Dock metadata.</x:v>
      </x:c>
      <x:c r="I25" s="42" t="str">
        <x:v>Raw snapshot comparison could fail verification or show a false changed-while-closed reconciliation.</x:v>
      </x:c>
      <x:c r="J25" s="42" t="str">
        <x:v>The affected paths compared serialized tile payloads instead of stable app and spacer layout identity.</x:v>
      </x:c>
      <x:c r="K25" s="42" t="str">
        <x:v>Sources/DockitCore/DockSnapshot.swift; Sources/DockitCore/DockApplyCoordinator.swift; Sources/DockitCore/DockChangeMonitor.swift; Tests/DockitCoreTests</x:v>
      </x:c>
      <x:c r="L25" s="42" t="str">
        <x:v>Closed</x:v>
      </x:c>
      <x:c r="M25" s="42" t="str">
        <x:v>TR-METADATA-002</x:v>
      </x:c>
      <x:c r="N25" s="42" t="str">
        <x:v>EV-METADATA-001</x:v>
      </x:c>
      <x:c r="O25" s="42" t="str">
        <x:v>root</x:v>
      </x:c>
      <x:c r="P25" s="52" t="n">
        <x:v>46269.21215277778</x:v>
      </x:c>
      <x:c r="Q25" s="52" t="n">
        <x:v>46269.2127662037</x:v>
      </x:c>
      <x:c r="R25" s="42"/>
    </x:row>
    <x:row r="26">
      <x:c r="A26" s="42" t="str">
        <x:v>DEF-021</x:v>
      </x:c>
      <x:c r="B26" s="42" t="str">
        <x:v>TR-FOCUS-REGISTRATION-001</x:v>
      </x:c>
      <x:c r="C26" s="42" t="str">
        <x:v>FOC-006, REL-005</x:v>
      </x:c>
      <x:c r="D26" s="42" t="str">
        <x:v>Integration</x:v>
      </x:c>
      <x:c r="E26" s="42" t="str">
        <x:v>P0</x:v>
      </x:c>
      <x:c r="F26" s="42" t="str">
        <x:v>dockit could report its valid ExtensionKit Focus extension as missing.</x:v>
      </x:c>
      <x:c r="G26" s="42" t="str">
        <x:v>Embed DockitFocusExtension.appex under Contents/Extensions and let the main app check only builtInPlugInsURL.</x:v>
      </x:c>
      <x:c r="H26" s="42" t="str">
        <x:v>The app recognizes the registered App Intents extension and enables the System Settings setup route.</x:v>
      </x:c>
      <x:c r="I26" s="42" t="str">
        <x:v>The availability check could miss the ExtensionKit bundle and present the manual-only fallback.</x:v>
      </x:c>
      <x:c r="J26" s="42" t="str">
        <x:v>ExtensionKit embeds this target under Contents/Extensions rather than the traditional Contents/PlugIns directory.</x:v>
      </x:c>
      <x:c r="K26" s="42" t="str">
        <x:v>Sources/Dockit/AppModel.swift; Configuration/FocusExtension-Info.plist; project.yml</x:v>
      </x:c>
      <x:c r="L26" s="42" t="str">
        <x:v>Closed</x:v>
      </x:c>
      <x:c r="M26" s="42" t="str">
        <x:v>TR-FOCUS-REGISTRATION-002</x:v>
      </x:c>
      <x:c r="N26" s="42" t="str">
        <x:v>EV-FOCUS-005</x:v>
      </x:c>
      <x:c r="O26" s="42" t="str">
        <x:v>root</x:v>
      </x:c>
      <x:c r="P26" s="52" t="n">
        <x:v>46269.22222222222</x:v>
      </x:c>
      <x:c r="Q26" s="52" t="n">
        <x:v>46269.227800925924</x:v>
      </x:c>
      <x:c r="R26" s="42"/>
    </x:row>
    <x:row r="27">
      <x:c r="A27" s="42" t="str">
        <x:v>DEF-022</x:v>
      </x:c>
      <x:c r="B27" s="42" t="str">
        <x:v>TR-WINDOW-REOPEN-001</x:v>
      </x:c>
      <x:c r="C27" s="42" t="str">
        <x:v>MEN-003</x:v>
      </x:c>
      <x:c r="D27" s="42" t="str">
        <x:v>Lifecycle</x:v>
      </x:c>
      <x:c r="E27" s="42" t="str">
        <x:v>P1</x:v>
      </x:c>
      <x:c r="F27" s="42" t="str">
        <x:v>A visible Settings window could prevent the management window from reopening.</x:v>
      </x:c>
      <x:c r="G27" s="42" t="str">
        <x:v>Close the management window, leave Settings visible, then click dockit's Dock icon.</x:v>
      </x:c>
      <x:c r="H27" s="42" t="str">
        <x:v>The reopen event creates or raises the management window regardless of other dockit windows.</x:v>
      </x:c>
      <x:c r="I27" s="42" t="str">
        <x:v>The app remained on Settings because hasVisibleWindows was true and the management WindowGroup was not requested.</x:v>
      </x:c>
      <x:c r="J27" s="42" t="str">
        <x:v>The reopen delegate treated any visible dockit window as proof that the management window was already visible.</x:v>
      </x:c>
      <x:c r="K27" s="42" t="str">
        <x:v>Sources/Dockit/DockMenuCoordinator.swift</x:v>
      </x:c>
      <x:c r="L27" s="42" t="str">
        <x:v>Fixed</x:v>
      </x:c>
      <x:c r="M27" s="42" t="str"/>
      <x:c r="N27" s="42" t="str"/>
      <x:c r="O27" s="42" t="str">
        <x:v>root</x:v>
      </x:c>
      <x:c r="P27" s="52" t="n">
        <x:v>46269.26597222222</x:v>
      </x:c>
      <x:c r="Q27" s="52" t="str"/>
      <x:c r="R27" s="42" t="str">
        <x:v>applicationShouldHandleReopen now always requests the management window. An installed build retest is still required before closure.</x:v>
      </x:c>
    </x:row>
    <x:row r="28">
      <x:c r="A28" s="42" t="str">
        <x:v>DEF-028</x:v>
      </x:c>
      <x:c r="B28" s="42" t="str">
        <x:v>TR-ICON-REDESIGN-01</x:v>
      </x:c>
      <x:c r="C28" s="42" t="str">
        <x:v>UX-002</x:v>
      </x:c>
      <x:c r="D28" s="42" t="str">
        <x:v>Visual</x:v>
      </x:c>
      <x:c r="E28" s="42" t="str">
        <x:v>P1</x:v>
      </x:c>
      <x:c r="F28" s="42" t="str">
        <x:v>The first menu bar icon loses its Dock silhouette at 18 points.</x:v>
      </x:c>
      <x:c r="G28" s="42" t="str">
        <x:v>Render the outline SVG at 18 points against light and dark status bar backgrounds.</x:v>
      </x:c>
      <x:c r="H28" s="42" t="str">
        <x:v>The mascot and Dock tray remain immediately recognizable.</x:v>
      </x:c>
      <x:c r="I28" s="42" t="str">
        <x:v>Only the two eye marks remain clearly visible.</x:v>
      </x:c>
      <x:c r="J28" s="42" t="str">
        <x:v>The outline strokes and open tray geometry are too delicate at menu bar scale.</x:v>
      </x:c>
      <x:c r="K28" s="42" t="str">
        <x:v>Sources/Dockit/Assets.xcassets/MenuBarIcon.imageset/MenuBarIcon.svg</x:v>
      </x:c>
      <x:c r="L28" s="42" t="str">
        <x:v>Closed</x:v>
      </x:c>
      <x:c r="M28" s="42" t="str">
        <x:v>TR-ICON-REDESIGN-02</x:v>
      </x:c>
      <x:c r="N28" s="42" t="str">
        <x:v>EV-ICON-REDESIGN-01, EV-MENUBAR-ICON-01</x:v>
      </x:c>
      <x:c r="O28" s="42" t="str">
        <x:v>root</x:v>
      </x:c>
      <x:c r="P28" s="52" t="n">
        <x:v>46269.70723409722</x:v>
      </x:c>
      <x:c r="Q28" s="52" t="n">
        <x:v>46269.70723417824</x:v>
      </x:c>
      <x:c r="R28" s="42"/>
    </x:row>
    <x:row r="29">
      <x:c r="A29" s="42" t="str">
        <x:v>DEF-029</x:v>
      </x:c>
      <x:c r="B29" s="42" t="str">
        <x:v>TR-CODE-REDESIGN-AUDIT-001</x:v>
      </x:c>
      <x:c r="C29" s="42" t="str">
        <x:v>PRF-018, PRF-019, PRF-021, PRF-030</x:v>
      </x:c>
      <x:c r="D29" s="42" t="str">
        <x:v>Product logic</x:v>
      </x:c>
      <x:c r="E29" s="42" t="str">
        <x:v>P1</x:v>
      </x:c>
      <x:c r="F29" s="42" t="str">
        <x:v>The earlier in-app editor could apply each item edit to the real Dock.</x:v>
      </x:c>
      <x:c r="G29" s="42" t="str">
        <x:v>Edit an application or spacer in the selected profile and trace the mutation through activation instead of local persistence.</x:v>
      </x:c>
      <x:c r="H29" s="42" t="str">
        <x:v>Editor changes save locally and change the real Dock only after an explicit apply action.</x:v>
      </x:c>
      <x:c r="I29" s="42" t="str">
        <x:v>The old mutation path coupled editing with Dock apply, preventing inactive-profile drafts.</x:v>
      </x:c>
      <x:c r="J29" s="42" t="str">
        <x:v>The editor treated the active real Dock as the source of truth instead of separating saved and applied layouts.</x:v>
      </x:c>
      <x:c r="K29" s="42" t="str">
        <x:v>Sources/Dockit/AppModel.swift; Sources/DockitCore/DockLibrary.swift; DEC-16; DEC-17</x:v>
      </x:c>
      <x:c r="L29" s="42" t="str">
        <x:v>Fixed</x:v>
      </x:c>
      <x:c r="M29" s="42" t="str"/>
      <x:c r="N29" s="42" t="str">
        <x:v>EV-REDESIGN-SOURCE-001</x:v>
      </x:c>
      <x:c r="O29" s="42" t="str">
        <x:v>root</x:v>
      </x:c>
      <x:c r="P29" s="52" t="n">
        <x:v>46269.84722222222</x:v>
      </x:c>
      <x:c r="Q29" s="52" t="str"/>
      <x:c r="R29" s="42" t="str">
        <x:v>Source is corrected. The redesigned editor needs runtime interaction and real Dock preservation evidence before closure.</x:v>
      </x:c>
    </x:row>
    <x:row r="30">
      <x:c r="A30" s="42" t="str">
        <x:v>DEF-030</x:v>
      </x:c>
      <x:c r="B30" s="42" t="str">
        <x:v>TR-CODE-REDESIGN-AUDIT-001</x:v>
      </x:c>
      <x:c r="C30" s="42" t="str">
        <x:v>PRV-001</x:v>
      </x:c>
      <x:c r="D30" s="42" t="str">
        <x:v>Data integrity</x:v>
      </x:c>
      <x:c r="E30" s="42" t="str">
        <x:v>P1</x:v>
      </x:c>
      <x:c r="F30" s="42" t="str">
        <x:v>The earlier demo path could write fixture state to the normal local library store.</x:v>
      </x:c>
      <x:c r="G30" s="42" t="str">
        <x:v>Launch with demo fixtures, perform a save-triggering action, and trace the shared save path to DockLibraryStore.</x:v>
      </x:c>
      <x:c r="H30" s="42" t="str">
        <x:v>Demo state remains memory-only and never changes the user's normal local profile library.</x:v>
      </x:c>
      <x:c r="I30" s="42" t="str">
        <x:v>The shared save helper did not consistently exclude demo mode.</x:v>
      </x:c>
      <x:c r="J30" s="42" t="str">
        <x:v>Persistence protection lived at some call sites rather than at the common save boundary.</x:v>
      </x:c>
      <x:c r="K30" s="42" t="str">
        <x:v>Sources/Dockit/AppModel.swift</x:v>
      </x:c>
      <x:c r="L30" s="42" t="str">
        <x:v>Fixed</x:v>
      </x:c>
      <x:c r="M30" s="42" t="str"/>
      <x:c r="N30" s="42" t="str">
        <x:v>EV-REDESIGN-SOURCE-001</x:v>
      </x:c>
      <x:c r="O30" s="42" t="str">
        <x:v>root</x:v>
      </x:c>
      <x:c r="P30" s="52" t="n">
        <x:v>46269.84722222222</x:v>
      </x:c>
      <x:c r="Q30" s="52" t="str"/>
      <x:c r="R30" s="42" t="str">
        <x:v>The common save boundary now skips store writes in demo mode. An isolated app-level disk check is still required.</x:v>
      </x:c>
    </x:row>
    <x:row r="31">
      <x:c r="A31" s="42" t="str">
        <x:v>DEF-031</x:v>
      </x:c>
      <x:c r="B31" s="42" t="str">
        <x:v>TR-CODE-REDESIGN-AUDIT-001</x:v>
      </x:c>
      <x:c r="C31" s="42" t="str">
        <x:v>PRF-025, PRF-026, PRF-031, PRF-032, REL-006</x:v>
      </x:c>
      <x:c r="D31" s="42" t="str">
        <x:v>Data integrity</x:v>
      </x:c>
      <x:c r="E31" s="42" t="str">
        <x:v>P1</x:v>
      </x:c>
      <x:c r="F31" s="42" t="str">
        <x:v>An external Dock change could overwrite saved pending edits before reconciliation.</x:v>
      </x:c>
      <x:c r="G31" s="42" t="str">
        <x:v>Create saved changes in the active profile, change the real Dock before monitor seeding or before apply preparation, and let the old autosave path reconcile it directly.</x:v>
      </x:c>
      <x:c r="H31" s="42" t="str">
        <x:v>dockit preserves the saved draft, detects divergence from the accepted applied snapshot, and asks which version to keep.</x:v>
      </x:c>
      <x:c r="I31" s="42" t="str">
        <x:v>The old monitor and apply preparation could accept the new real Dock as the baseline and replace pending saved content.</x:v>
      </x:c>
      <x:c r="J31" s="42" t="str">
        <x:v>The monitor seeded from a fresh read and activation did not compare its prepared snapshot with the library's accepted baseline.</x:v>
      </x:c>
      <x:c r="K31" s="42" t="str">
        <x:v>Sources/Dockit/AppModel.swift; Sources/DockitCore/DockActivationService.swift; Sources/DockitCore/DockChangeMonitor.swift; Tests/DockitCoreTests/DockActivationServiceTests.swift; Tests/DockitCoreTests/DockChangeMonitorTests.swift</x:v>
      </x:c>
      <x:c r="L31" s="42" t="str">
        <x:v>Fixed</x:v>
      </x:c>
      <x:c r="M31" s="42" t="str">
        <x:v>TR-CORE-V2-001</x:v>
      </x:c>
      <x:c r="N31" s="42" t="str">
        <x:v>EV-REDESIGN-SOURCE-001, EV-CORE-V2-001</x:v>
      </x:c>
      <x:c r="O31" s="42" t="str">
        <x:v>root and blackout_benchmark_resume</x:v>
      </x:c>
      <x:c r="P31" s="52" t="n">
        <x:v>46269.84722222222</x:v>
      </x:c>
      <x:c r="Q31" s="52" t="str"/>
      <x:c r="R31" s="42" t="str">
        <x:v>Core race tests pass. Keep Fixed until the visible conflict flow and live monitor behavior are retested.</x:v>
      </x:c>
    </x:row>
    <x:row r="32">
      <x:c r="A32" s="42" t="str">
        <x:v>DEF-032</x:v>
      </x:c>
      <x:c r="B32" s="42" t="str">
        <x:v>TR-CODE-REDESIGN-AUDIT-001</x:v>
      </x:c>
      <x:c r="C32" s="42" t="str">
        <x:v>LED-001</x:v>
      </x:c>
      <x:c r="D32" s="42" t="str">
        <x:v>Tooling</x:v>
      </x:c>
      <x:c r="E32" s="42" t="str">
        <x:v>P1</x:v>
      </x:c>
      <x:c r="F32" s="42" t="str">
        <x:v>The ledger updater ignored definition changes for existing stories.</x:v>
      </x:c>
      <x:c r="G32" s="42" t="str">
        <x:v>Update area, contract, user story, expected behavior, or acceptance test on an existing story, then inspect the exported row.</x:v>
      </x:c>
      <x:c r="H32" s="42" t="str">
        <x:v>The definition changes in place while status and all execution history remain intact.</x:v>
      </x:c>
      <x:c r="I32" s="42" t="str">
        <x:v>The updater calculated the revised values but wrote the full definition row only when the story was new.</x:v>
      </x:c>
      <x:c r="J32" s="42" t="str">
        <x:v>The existing-story branch had no write for columns A through F.</x:v>
      </x:c>
      <x:c r="K32" s="42" t="str">
        <x:v>Tools/FeatureLedger.mjs; Tools/FeatureLedgerTests.mjs</x:v>
      </x:c>
      <x:c r="L32" s="42" t="str">
        <x:v>Closed</x:v>
      </x:c>
      <x:c r="M32" s="42" t="str">
        <x:v>TR-LEDGER-TOOL-001</x:v>
      </x:c>
      <x:c r="N32" s="42" t="str">
        <x:v>EV-REDESIGN-SOURCE-001, EV-LEDGER-TOOL-001</x:v>
      </x:c>
      <x:c r="O32" s="42" t="str">
        <x:v>blackout_benchmark_resume</x:v>
      </x:c>
      <x:c r="P32" s="52" t="n">
        <x:v>46269.84375</x:v>
      </x:c>
      <x:c r="Q32" s="52" t="n">
        <x:v>46269.85648148148</x:v>
      </x:c>
      <x:c r="R32" s="42" t="str">
        <x:v>A red regression reproduced the loss. The fix passed all 14 tool tests and this canonical batch uses the corrected path.</x:v>
      </x:c>
    </x:row>
    <x:row r="33">
      <x:c r="A33" s="42" t="str">
        <x:v>DEF-033</x:v>
      </x:c>
      <x:c r="B33" s="42" t="str">
        <x:v>TR-CODE-REDESIGN-AUDIT-001</x:v>
      </x:c>
      <x:c r="C33" s="42" t="str">
        <x:v>PRF-024, REL-008, XFR-006</x:v>
      </x:c>
      <x:c r="D33" s="42" t="str">
        <x:v>Data integrity</x:v>
      </x:c>
      <x:c r="E33" s="42" t="str">
        <x:v>P1</x:v>
      </x:c>
      <x:c r="F33" s="42" t="str">
        <x:v>Normal external Dock autosave could drop unavailable saved applications.</x:v>
      </x:c>
      <x:c r="G33" s="42" t="str">
        <x:v>Keep an unavailable app in the active profile, change the real Dock, capture its visible items, and replace the saved profile with the capture.</x:v>
      </x:c>
      <x:c r="H33" s="42" t="str">
        <x:v>Unavailable saved apps remain at stable saved positions while observed items retain real Dock order.</x:v>
      </x:c>
      <x:c r="I33" s="42" t="str">
        <x:v>Unavailable apps were absent from the captured Dock and could disappear from the saved profile.</x:v>
      </x:c>
      <x:c r="J33" s="42" t="str">
        <x:v>The external-change path replaced the whole saved item array without merging unavailable references.</x:v>
      </x:c>
      <x:c r="K33" s="42" t="str">
        <x:v>Sources/DockitCore/DockProfileReconciliation.swift; Tests/DockitCoreTests/DockProfileReconciliationTests.swift; Sources/Dockit/AppModel.swift</x:v>
      </x:c>
      <x:c r="L33" s="42" t="str">
        <x:v>Fixed</x:v>
      </x:c>
      <x:c r="M33" s="42" t="str">
        <x:v>TR-CORE-V2-001</x:v>
      </x:c>
      <x:c r="N33" s="42" t="str">
        <x:v>EV-REDESIGN-SOURCE-001, EV-CORE-V2-001</x:v>
      </x:c>
      <x:c r="O33" s="42" t="str">
        <x:v>root</x:v>
      </x:c>
      <x:c r="P33" s="52" t="n">
        <x:v>46269.84722222222</x:v>
      </x:c>
      <x:c r="Q33" s="52" t="str"/>
      <x:c r="R33" s="42" t="str">
        <x:v>Three pure reconciliation cases pass. Keep Fixed until a live external Dock autosave retest.</x:v>
      </x:c>
    </x:row>
    <x:row r="34">
      <x:c r="A34" s="42" t="str">
        <x:v>DEF-034</x:v>
      </x:c>
      <x:c r="B34" s="42" t="str">
        <x:v>TR-CODE-REDESIGN-AUDIT-001</x:v>
      </x:c>
      <x:c r="C34" s="42" t="str">
        <x:v>PRF-001, REL-002</x:v>
      </x:c>
      <x:c r="D34" s="42" t="str">
        <x:v>Data integrity</x:v>
      </x:c>
      <x:c r="E34" s="42" t="str">
        <x:v>P1</x:v>
      </x:c>
      <x:c r="F34" s="42" t="str">
        <x:v>The first captured profile and its active baseline could persist in separate steps.</x:v>
      </x:c>
      <x:c r="G34" s="42" t="str">
        <x:v>Interrupt first-run capture between saving the profile and saving its active or applied metadata.</x:v>
      </x:c>
      <x:c r="H34" s="42" t="str">
        <x:v>The initial profile, active record, applied layout, and last known Dock commit as one library state.</x:v>
      </x:c>
      <x:c r="I34" s="42" t="str">
        <x:v>Separate writes could leave a profile without a matching accepted applied baseline.</x:v>
      </x:c>
      <x:c r="J34" s="42" t="str">
        <x:v>First-run assembly used multiple persistence steps instead of one atomic library value.</x:v>
      </x:c>
      <x:c r="K34" s="42" t="str">
        <x:v>Sources/Dockit/AppModel.swift; Sources/DockitCore/DockLibrary.swift</x:v>
      </x:c>
      <x:c r="L34" s="42" t="str">
        <x:v>Fixed</x:v>
      </x:c>
      <x:c r="M34" s="42" t="str"/>
      <x:c r="N34" s="42" t="str">
        <x:v>EV-REDESIGN-SOURCE-001</x:v>
      </x:c>
      <x:c r="O34" s="42" t="str">
        <x:v>root</x:v>
      </x:c>
      <x:c r="P34" s="52" t="n">
        <x:v>46269.84722222222</x:v>
      </x:c>
      <x:c r="Q34" s="52" t="str"/>
      <x:c r="R34" s="42" t="str">
        <x:v>Source is corrected. An interrupted first-run app test is still required before closure.</x:v>
      </x:c>
    </x:row>
    <x:row r="35">
      <x:c r="A35" s="42" t="str">
        <x:v>DEF-035</x:v>
      </x:c>
      <x:c r="B35" s="42" t="str">
        <x:v>TR-CODE-REDESIGN-AUDIT-001</x:v>
      </x:c>
      <x:c r="C35" s="42" t="str">
        <x:v>MEN-001, MEN-007, SET-002</x:v>
      </x:c>
      <x:c r="D35" s="42" t="str">
        <x:v>Interaction</x:v>
      </x:c>
      <x:c r="E35" s="42" t="str">
        <x:v>P1</x:v>
      </x:c>
      <x:c r="F35" s="42" t="str">
        <x:v>Native menu actions could remain enabled while the shared activation state disallowed them.</x:v>
      </x:c>
      <x:c r="G35" s="42" t="str">
        <x:v>Open an app, Dock, or menu bar menu during apply or another blocked state and compare command enablement with the main window.</x:v>
      </x:c>
      <x:c r="H35" s="42" t="str">
        <x:v>Every switching surface reads the same action-disabled state and rejects the same blocked operations.</x:v>
      </x:c>
      <x:c r="I35" s="42" t="str">
        <x:v>Menu enablement could lag or use a narrower condition than the activation path.</x:v>
      </x:c>
      <x:c r="J35" s="42" t="str">
        <x:v>Native menu validation and AppModel activation eligibility were not sourced from one state contract.</x:v>
      </x:c>
      <x:c r="K35" s="42" t="str">
        <x:v>Sources/Dockit/AppModel.swift; Sources/Dockit/DockMenuCoordinator.swift; Sources/Dockit/DockitCommands.swift</x:v>
      </x:c>
      <x:c r="L35" s="42" t="str">
        <x:v>Fixed</x:v>
      </x:c>
      <x:c r="M35" s="42" t="str"/>
      <x:c r="N35" s="42" t="str">
        <x:v>EV-REDESIGN-SOURCE-001</x:v>
      </x:c>
      <x:c r="O35" s="42" t="str">
        <x:v>root</x:v>
      </x:c>
      <x:c r="P35" s="52" t="n">
        <x:v>46269.84722222222</x:v>
      </x:c>
      <x:c r="Q35" s="52" t="str"/>
      <x:c r="R35" s="42" t="str">
        <x:v>Source is synchronized. Mouse and keyboard menu retesting during every blocked state remains.</x:v>
      </x:c>
    </x:row>
    <x:row r="36">
      <x:c r="A36" s="42" t="str">
        <x:v>DEF-036</x:v>
      </x:c>
      <x:c r="B36" s="42" t="str">
        <x:v>TR-CODE-REDESIGN-AUDIT-001</x:v>
      </x:c>
      <x:c r="C36" s="42" t="str">
        <x:v>PRF-033</x:v>
      </x:c>
      <x:c r="D36" s="42" t="str">
        <x:v>Interaction</x:v>
      </x:c>
      <x:c r="E36" s="42" t="str">
        <x:v>P2</x:v>
      </x:c>
      <x:c r="F36" s="42" t="str">
        <x:v>Activation cleanup could restore stale editor item selection after the user changed profiles.</x:v>
      </x:c>
      <x:c r="G36" s="42" t="str">
        <x:v>Start a switch, select another profile and items before it completes, then inspect the final item selection.</x:v>
      </x:c>
      <x:c r="H36" s="42" t="str">
        <x:v>The final profile choice is preserved and transient item selection is cleared when its context changes.</x:v>
      </x:c>
      <x:c r="I36" s="42" t="str">
        <x:v>Cleanup could revive item IDs from the previous profile or an earlier activation state.</x:v>
      </x:c>
      <x:c r="J36" s="42" t="str">
        <x:v>Profile selection restoration did not reset the item-selection context at activation completion.</x:v>
      </x:c>
      <x:c r="K36" s="42" t="str">
        <x:v>Sources/Dockit/AppModel.swift</x:v>
      </x:c>
      <x:c r="L36" s="42" t="str">
        <x:v>Fixed</x:v>
      </x:c>
      <x:c r="M36" s="42" t="str"/>
      <x:c r="N36" s="42" t="str">
        <x:v>EV-REDESIGN-SOURCE-001</x:v>
      </x:c>
      <x:c r="O36" s="42" t="str">
        <x:v>root</x:v>
      </x:c>
      <x:c r="P36" s="52" t="n">
        <x:v>46269.84722222222</x:v>
      </x:c>
      <x:c r="Q36" s="52" t="str"/>
      <x:c r="R36" s="42" t="str">
        <x:v>Source is corrected. A continuous rapid-selection recording and keyboard retest remain.</x:v>
      </x:c>
    </x:row>
    <x:row r="37">
      <x:c r="A37" s="42" t="str">
        <x:v>DEF-037</x:v>
      </x:c>
      <x:c r="B37" s="42" t="str">
        <x:v>TR-APP-MODEL-RED-001</x:v>
      </x:c>
      <x:c r="C37" s="42" t="str">
        <x:v>PRF-010, XFR-006</x:v>
      </x:c>
      <x:c r="D37" s="42" t="str">
        <x:v>Product logic</x:v>
      </x:c>
      <x:c r="E37" s="42" t="str">
        <x:v>P1</x:v>
      </x:c>
      <x:c r="F37" s="42" t="str">
        <x:v>Unavailable saved apps blocked profile apply behind an obsolete confirmation.</x:v>
      </x:c>
      <x:c r="G37" s="42" t="str">
        <x:v>Apply a saved profile containing one available and one unavailable app through AppModel.</x:v>
      </x:c>
      <x:c r="H37" s="42" t="str">
        <x:v>dockit applies available entries in saved order, retains unavailable references, and reports skipped entries without opening management first.</x:v>
      </x:c>
      <x:c r="I37" s="42" t="str">
        <x:v>Activation returned without applying because missing entries required a replacement or skip confirmation.</x:v>
      </x:c>
      <x:c r="J37" s="42" t="str">
        <x:v>An earlier preflight policy remained in AppModel after the approved one-click partial apply behavior changed.</x:v>
      </x:c>
      <x:c r="K37" s="42" t="str">
        <x:v>Sources/Dockit/AppModel.swift; Tests/DockitAppTests/AppModelTests.swift; DEC-11</x:v>
      </x:c>
      <x:c r="L37" s="42" t="str">
        <x:v>Fixed</x:v>
      </x:c>
      <x:c r="M37" s="42" t="str">
        <x:v>TR-APP-MODEL-GREEN-001</x:v>
      </x:c>
      <x:c r="N37" s="42" t="str">
        <x:v>EV-APP-MODEL-RED-001, EV-APP-MODEL-GREEN-001</x:v>
      </x:c>
      <x:c r="O37" s="42" t="str">
        <x:v>root</x:v>
      </x:c>
      <x:c r="P37" s="52" t="n">
        <x:v>46269.86599537037</x:v>
      </x:c>
      <x:c r="Q37" s="52" t="str"/>
      <x:c r="R37" s="42" t="str">
        <x:v>The model regression passes. Live skipped-entry feedback and real Dock apply remain open.</x:v>
      </x:c>
    </x:row>
    <x:row r="38">
      <x:c r="A38" s="42" t="str">
        <x:v>DEF-038</x:v>
      </x:c>
      <x:c r="B38" s="42" t="str">
        <x:v>TR-APP-MODEL-RED-001</x:v>
      </x:c>
      <x:c r="C38" s="42" t="str">
        <x:v>PRF-009, REL-002</x:v>
      </x:c>
      <x:c r="D38" s="42" t="str">
        <x:v>Data integrity</x:v>
      </x:c>
      <x:c r="E38" s="42" t="str">
        <x:v>P1</x:v>
      </x:c>
      <x:c r="F38" s="42" t="str">
        <x:v>Startup recovery promoted active metadata before its library save succeeded.</x:v>
      </x:c>
      <x:c r="G38" s="42" t="str">
        <x:v>Load an interrupted apply whose actual Dock matches the intended target, then inject a save failure during recovery.</x:v>
      </x:c>
      <x:c r="H38" s="42" t="str">
        <x:v>The prior active metadata and pending transaction remain intact until the recovered state saves successfully.</x:v>
      </x:c>
      <x:c r="I38" s="42" t="str">
        <x:v>In-memory active metadata advanced and pending state cleared before the failed save.</x:v>
      </x:c>
      <x:c r="J38" s="42" t="str">
        <x:v>Recovery mutated the published library before committing its replacement value.</x:v>
      </x:c>
      <x:c r="K38" s="42" t="str">
        <x:v>Sources/Dockit/AppModel.swift; Tests/DockitAppTests/AppModelTests.swift</x:v>
      </x:c>
      <x:c r="L38" s="42" t="str">
        <x:v>Fixed</x:v>
      </x:c>
      <x:c r="M38" s="42" t="str">
        <x:v>TR-APP-MODEL-GREEN-001</x:v>
      </x:c>
      <x:c r="N38" s="42" t="str">
        <x:v>EV-APP-MODEL-RED-001, EV-APP-MODEL-GREEN-001</x:v>
      </x:c>
      <x:c r="O38" s="42" t="str">
        <x:v>root</x:v>
      </x:c>
      <x:c r="P38" s="52" t="n">
        <x:v>46269.86599537037</x:v>
      </x:c>
      <x:c r="Q38" s="52" t="str"/>
      <x:c r="R38" s="42" t="str">
        <x:v>The hosted save-failure regression passes. Terminated-process recovery remains open.</x:v>
      </x:c>
    </x:row>
    <x:row r="39">
      <x:c r="A39" s="42" t="str">
        <x:v>DEF-039</x:v>
      </x:c>
      <x:c r="B39" s="42" t="str">
        <x:v>TR-APP-MODEL-RED-001</x:v>
      </x:c>
      <x:c r="C39" s="42" t="str">
        <x:v>PRF-026, REL-002</x:v>
      </x:c>
      <x:c r="D39" s="42" t="str">
        <x:v>Data integrity</x:v>
      </x:c>
      <x:c r="E39" s="42" t="str">
        <x:v>P1</x:v>
      </x:c>
      <x:c r="F39" s="42" t="str">
        <x:v>Interrupted keep-current recovery overwrote the pending target profile.</x:v>
      </x:c>
      <x:c r="G39" s="42" t="str">
        <x:v>Recover an interrupted apply, choose to keep the current real Dock as a new profile, and inspect the saved target.</x:v>
      </x:c>
      <x:c r="H39" s="42" t="str">
        <x:v>The current Dock becomes a new independent profile and the pending target remains unchanged.</x:v>
      </x:c>
      <x:c r="I39" s="42" t="str">
        <x:v>The library stayed at two profiles because the pending target was replaced.</x:v>
      </x:c>
      <x:c r="J39" s="42" t="str">
        <x:v>The recovery branch reused the target record instead of appending a new profile.</x:v>
      </x:c>
      <x:c r="K39" s="42" t="str">
        <x:v>Sources/Dockit/AppModel.swift; Tests/DockitAppTests/AppModelTests.swift</x:v>
      </x:c>
      <x:c r="L39" s="42" t="str">
        <x:v>Fixed</x:v>
      </x:c>
      <x:c r="M39" s="42" t="str">
        <x:v>TR-APP-MODEL-GREEN-001</x:v>
      </x:c>
      <x:c r="N39" s="42" t="str">
        <x:v>EV-APP-MODEL-RED-001, EV-APP-MODEL-GREEN-001</x:v>
      </x:c>
      <x:c r="O39" s="42" t="str">
        <x:v>root</x:v>
      </x:c>
      <x:c r="P39" s="52" t="n">
        <x:v>46269.86599537037</x:v>
      </x:c>
      <x:c r="Q39" s="52" t="str"/>
      <x:c r="R39" s="42" t="str">
        <x:v>The hosted recovery regression passes. Visible recovery choices remain open.</x:v>
      </x:c>
    </x:row>
    <x:row r="40">
      <x:c r="A40" s="42" t="str">
        <x:v>DEF-040</x:v>
      </x:c>
      <x:c r="B40" s="42" t="str">
        <x:v>TR-APP-MODEL-RED-001</x:v>
      </x:c>
      <x:c r="C40" s="42" t="str">
        <x:v>PRF-024, REL-008, XFR-006</x:v>
      </x:c>
      <x:c r="D40" s="42" t="str">
        <x:v>Data integrity</x:v>
      </x:c>
      <x:c r="E40" s="42" t="str">
        <x:v>P1</x:v>
      </x:c>
      <x:c r="F40" s="42" t="str">
        <x:v>Changed-while-closed reconciliation dropped unavailable saved applications.</x:v>
      </x:c>
      <x:c r="G40" s="42" t="str">
        <x:v>Start with an unavailable saved app, change the real Dock while dockit is closed, reopen, and accept the current Dock.</x:v>
      </x:c>
      <x:c r="H40" s="42" t="str">
        <x:v>Observed entries reconcile while the unavailable saved reference remains at a stable position.</x:v>
      </x:c>
      <x:c r="I40" s="42" t="str">
        <x:v>The unavailable item was absent after accepting the closed change.</x:v>
      </x:c>
      <x:c r="J40" s="42" t="str">
        <x:v>The closed-change capture path did not use the unavailable-entry reconciliation policy.</x:v>
      </x:c>
      <x:c r="K40" s="42" t="str">
        <x:v>Sources/Dockit/AppModel.swift; Sources/DockitCore/DockProfileReconciliation.swift; Tests/DockitAppTests/AppModelTests.swift</x:v>
      </x:c>
      <x:c r="L40" s="42" t="str">
        <x:v>Fixed</x:v>
      </x:c>
      <x:c r="M40" s="42" t="str">
        <x:v>TR-APP-MODEL-GREEN-001</x:v>
      </x:c>
      <x:c r="N40" s="42" t="str">
        <x:v>EV-APP-MODEL-RED-001, EV-APP-MODEL-GREEN-001</x:v>
      </x:c>
      <x:c r="O40" s="42" t="str">
        <x:v>root</x:v>
      </x:c>
      <x:c r="P40" s="52" t="n">
        <x:v>46269.86599537037</x:v>
      </x:c>
      <x:c r="Q40" s="52" t="str"/>
      <x:c r="R40" s="42" t="str">
        <x:v>The hosted changed-while-closed regression passes. A real Dock reopen test remains open.</x:v>
      </x:c>
    </x:row>
    <x:row r="41">
      <x:c r="A41" s="42" t="str">
        <x:v>DEF-041</x:v>
      </x:c>
      <x:c r="B41" s="42" t="str">
        <x:v>TR-APP-MODEL-RED-001</x:v>
      </x:c>
      <x:c r="C41" s="42" t="str">
        <x:v>PRF-024, REL-001, REL-006</x:v>
      </x:c>
      <x:c r="D41" s="42" t="str">
        <x:v>Data integrity</x:v>
      </x:c>
      <x:c r="E41" s="42" t="str">
        <x:v>P1</x:v>
      </x:c>
      <x:c r="F41" s="42" t="str">
        <x:v>External autosave failure lost its retry buffer and retried every monitor poll.</x:v>
      </x:c>
      <x:c r="G41" s="42" t="str">
        <x:v>Inject a library save failure while reconciling a normal external Dock change, then deliver another unchanged monitor poll.</x:v>
      </x:c>
      <x:c r="H41" s="42" t="str">
        <x:v>The unsaved buffer remains visible and retryable, and unchanged polls do not issue repeated writes.</x:v>
      </x:c>
      <x:c r="I41" s="42" t="str">
        <x:v>The buffer reverted, no useful save failure remained, and the same write could repeat on each poll.</x:v>
      </x:c>
      <x:c r="J41" s="42" t="str">
        <x:v>Autosave published only committed state and had no failure retry gate.</x:v>
      </x:c>
      <x:c r="K41" s="42" t="str">
        <x:v>Sources/Dockit/AppModel.swift; Tests/DockitAppTests/AppModelTests.swift</x:v>
      </x:c>
      <x:c r="L41" s="42" t="str">
        <x:v>Fixed</x:v>
      </x:c>
      <x:c r="M41" s="42" t="str">
        <x:v>TR-APP-MODEL-GREEN-001</x:v>
      </x:c>
      <x:c r="N41" s="42" t="str">
        <x:v>EV-APP-MODEL-RED-001, EV-APP-MODEL-GREEN-001</x:v>
      </x:c>
      <x:c r="O41" s="42" t="str">
        <x:v>root</x:v>
      </x:c>
      <x:c r="P41" s="52" t="n">
        <x:v>46269.86599537037</x:v>
      </x:c>
      <x:c r="Q41" s="52" t="str"/>
      <x:c r="R41" s="42" t="str">
        <x:v>The hosted retry-buffer regression passes. Visible save-failure recovery remains open.</x:v>
      </x:c>
    </x:row>
    <x:row r="42">
      <x:c r="A42" s="42" t="str">
        <x:v>DEF-042</x:v>
      </x:c>
      <x:c r="B42" s="42" t="str">
        <x:v>TR-FOCUS-MODEL-RED-001</x:v>
      </x:c>
      <x:c r="C42" s="42" t="str">
        <x:v>PRF-025, PRF-033, FOC-003, FOC-005</x:v>
      </x:c>
      <x:c r="D42" s="42" t="str">
        <x:v>Concurrency</x:v>
      </x:c>
      <x:c r="E42" s="42" t="str">
        <x:v>P1</x:v>
      </x:c>
      <x:c r="F42" s="42" t="str">
        <x:v>Focus processing held the item-mutation lock across apply and blocked safe inspection and newer manual requests.</x:v>
      </x:c>
      <x:c r="G42" s="42" t="str">
        <x:v>Pause a Focus-triggered reload, change selected profile, then queue a newer manual activation.</x:v>
      </x:c>
      <x:c r="H42" s="42" t="str">
        <x:v>Inspection stays available, item mutation stays frozen, and the newer manual request queues for serialized execution.</x:v>
      </x:c>
      <x:c r="I42" s="42" t="str">
        <x:v>The broad lock blocked selection and the newer request until the Focus operation ended.</x:v>
      </x:c>
      <x:c r="J42" s="42" t="str">
        <x:v>One profileMutationInProgress guard covered both unsafe item edits and safe inspection or activation requests.</x:v>
      </x:c>
      <x:c r="K42" s="42" t="str">
        <x:v>Sources/Dockit/AppModel.swift; Tests/DockitAppTests/AppModelTests.swift</x:v>
      </x:c>
      <x:c r="L42" s="42" t="str">
        <x:v>Fixed</x:v>
      </x:c>
      <x:c r="M42" s="42" t="str">
        <x:v>TR-FOCUS-MODEL-GREEN-001</x:v>
      </x:c>
      <x:c r="N42" s="42" t="str">
        <x:v>EV-FOCUS-RED-001, EV-FOCUS-MODEL-GREEN-001</x:v>
      </x:c>
      <x:c r="O42" s="42" t="str">
        <x:v>root</x:v>
      </x:c>
      <x:c r="P42" s="52" t="n">
        <x:v>46269.87013888889</x:v>
      </x:c>
      <x:c r="Q42" s="52" t="str"/>
      <x:c r="R42" s="42" t="str">
        <x:v>The in-process request tests pass twice with mock Dock services. Live Focus remains open.</x:v>
      </x:c>
    </x:row>
    <x:row r="43">
      <x:c r="A43" s="42" t="str">
        <x:v>DEF-043</x:v>
      </x:c>
      <x:c r="B43" s="42" t="str">
        <x:v>TR-FOCUS-GUARD-RED-001</x:v>
      </x:c>
      <x:c r="C43" s="42" t="str">
        <x:v>PRF-025, PRF-026, PRF-032, FOC-005, REL-001, REL-002, REL-006</x:v>
      </x:c>
      <x:c r="D43" s="42" t="str">
        <x:v>Concurrency</x:v>
      </x:c>
      <x:c r="E43" s="42" t="str">
        <x:v>P1</x:v>
      </x:c>
      <x:c r="F43" s="42" t="str">
        <x:v>A reviewed reconciliation snapshot leaked into a later queued manual activation.</x:v>
      </x:c>
      <x:c r="G43" s="42" t="str">
        <x:v>Approve a recovery apply while another manual activation queues, then let the first operation complete and inspect the second request's expected snapshot.</x:v>
      </x:c>
      <x:c r="H43" s="42" t="str">
        <x:v>Each queued activation carries only its own reviewed snapshot or no override.</x:v>
      </x:c>
      <x:c r="I43" s="42" t="str">
        <x:v>Shared approval state authorized the later manual request against the earlier recovery snapshot.</x:v>
      </x:c>
      <x:c r="J43" s="42" t="str">
        <x:v>Reconciliation approval was stored on AppModel instead of the individual queued activation.</x:v>
      </x:c>
      <x:c r="K43" s="42" t="str">
        <x:v>Sources/Dockit/AppModel.swift; Tests/DockitAppTests/AppModelTests.swift</x:v>
      </x:c>
      <x:c r="L43" s="42" t="str">
        <x:v>Fixed</x:v>
      </x:c>
      <x:c r="M43" s="42" t="str">
        <x:v>TR-FOCUS-MODEL-GREEN-001</x:v>
      </x:c>
      <x:c r="N43" s="42" t="str">
        <x:v>EV-FOCUS-GUARD-001, EV-FOCUS-MODEL-GREEN-001</x:v>
      </x:c>
      <x:c r="O43" s="42" t="str">
        <x:v>root</x:v>
      </x:c>
      <x:c r="P43" s="52" t="n">
        <x:v>46269.870833333334</x:v>
      </x:c>
      <x:c r="Q43" s="52" t="str"/>
      <x:c r="R43" s="42" t="str">
        <x:v>Request-scoped snapshot tests pass twice. A live recovery race remains open.</x:v>
      </x:c>
    </x:row>
    <x:row r="44">
      <x:c r="A44" s="42" t="str">
        <x:v>DEF-044</x:v>
      </x:c>
      <x:c r="B44" s="42" t="str">
        <x:v>TR-EDITOR-DARK-001</x:v>
      </x:c>
      <x:c r="C44" s="42" t="str">
        <x:v>PRF-020, PRF-028, PRF-033, PRF-034, MEN-004</x:v>
      </x:c>
      <x:c r="D44" s="42" t="str">
        <x:v>Accessibility</x:v>
      </x:c>
      <x:c r="E44" s="42" t="str">
        <x:v>P1</x:v>
      </x:c>
      <x:c r="F44" s="42" t="str">
        <x:v>Preview items had an unknown accessibility role and ignored keyboard movement.</x:v>
      </x:c>
      <x:c r="G44" s="42" t="str">
        <x:v>Click the first preview item, inspect its accessibility role, then press Right.</x:v>
      </x:c>
      <x:c r="H44" s="42" t="str">
        <x:v>Each item exposes an actionable role and label, receives focus, and supports the documented selection keys.</x:v>
      </x:c>
      <x:c r="I44" s="42" t="str">
        <x:v>The accessibility tree reported unknown, focus stayed on the window, and Right left selection unchanged.</x:v>
      </x:c>
      <x:c r="J44" s="42" t="str">
        <x:v>The drag wrapper suppressed an actionable accessibility element and explicit focus behavior.</x:v>
      </x:c>
      <x:c r="K44" s="42" t="str">
        <x:v>Sources/Dockit/ProfileDetailView.swift</x:v>
      </x:c>
      <x:c r="L44" s="42" t="str">
        <x:v>Closed</x:v>
      </x:c>
      <x:c r="M44" s="42" t="str">
        <x:v>TR-EDITOR-DARK-001</x:v>
      </x:c>
      <x:c r="N44" s="42" t="str">
        <x:v>EV-EDITOR-DARK-SELECTION-001, EV-EDITOR-DARK-REORDER-001</x:v>
      </x:c>
      <x:c r="O44" s="42" t="str">
        <x:v>root</x:v>
      </x:c>
      <x:c r="P44" s="52" t="n">
        <x:v>46269.879166666666</x:v>
      </x:c>
      <x:c r="Q44" s="52" t="n">
        <x:v>46269.88055555556</x:v>
      </x:c>
      <x:c r="R44" s="42" t="str">
        <x:v>Post-fix live checks report button roles and pass focus, range, toggle, select-all, and reorder actions. VoiceOver speech is tracked by the wider accessibility gate.</x:v>
      </x:c>
    </x:row>
    <x:row r="45">
      <x:c r="A45" s="42" t="str">
        <x:v>DEF-045</x:v>
      </x:c>
      <x:c r="B45" s="42" t="str">
        <x:v>TR-MENU-LIVE-001</x:v>
      </x:c>
      <x:c r="C45" s="42" t="str">
        <x:v>MEN-001, MEN-002, MEN-005, MEN-007, BRD-001</x:v>
      </x:c>
      <x:c r="D45" s="42" t="str">
        <x:v>Interaction</x:v>
      </x:c>
      <x:c r="E45" s="42" t="str">
        <x:v>P1</x:v>
      </x:c>
      <x:c r="F45" s="42" t="str">
        <x:v>A SwiftUI update could replace the customized native menu and remove docks.</x:v>
      </x:c>
      <x:c r="G45" s="42" t="str">
        <x:v>Reorder preview items, then inspect the main menu before another window event repairs it.</x:v>
      </x:c>
      <x:c r="H45" s="42" t="str">
        <x:v>Lowercase menu titles and the docks menu remain stable through application updates.</x:v>
      </x:c>
      <x:c r="I45" s="42" t="str">
        <x:v>One live accessibility snapshot showed capitalized stock menus and no docks menu, then a later window event restored them.</x:v>
      </x:c>
      <x:c r="J45" s="42" t="str">
        <x:v>Native menu repair ran too narrowly and did not observe replacement, add, change, remove, or application-update lifecycle events consistently.</x:v>
      </x:c>
      <x:c r="K45" s="42" t="str">
        <x:v>Sources/Dockit/DockitApp.swift; Sources/Dockit/DockitCommands.swift; Tests/DockitAppTests/MenuLifecycleTests.swift</x:v>
      </x:c>
      <x:c r="L45" s="42" t="str">
        <x:v>Fixed</x:v>
      </x:c>
      <x:c r="M45" s="42" t="str">
        <x:v>TR-MENU-MODEL-GREEN-001</x:v>
      </x:c>
      <x:c r="N45" s="42" t="str">
        <x:v>EV-INTERACTION-REVIEW-001, EV-MENU-MODEL-GREEN-001</x:v>
      </x:c>
      <x:c r="O45" s="42" t="str">
        <x:v>settings_lowercase</x:v>
      </x:c>
      <x:c r="P45" s="52" t="n">
        <x:v>46269.880902777775</x:v>
      </x:c>
      <x:c r="Q45" s="52" t="str"/>
      <x:c r="R45" s="42" t="str">
        <x:v>Twenty hosted tests pass. A rebuilt native runtime menu retest is still required before closure.</x:v>
      </x:c>
    </x:row>
    <x:row r="46">
      <x:c r="A46" s="42" t="str">
        <x:v>DEF-046</x:v>
      </x:c>
      <x:c r="B46" s="42" t="str">
        <x:v>TR-TRANSFER-DARK-001</x:v>
      </x:c>
      <x:c r="C46" s="42" t="str">
        <x:v>SET-004, XFR-001, XFR-003</x:v>
      </x:c>
      <x:c r="D46" s="42" t="str">
        <x:v>Interaction</x:v>
      </x:c>
      <x:c r="E46" s="42" t="str">
        <x:v>P1</x:v>
      </x:c>
      <x:c r="F46" s="42" t="str">
        <x:v>Transfer completion could lose Settings context and omit local success feedback.</x:v>
      </x:c>
      <x:c r="G46" s="42" t="str">
        <x:v>Start export or import in Settings, complete or cancel the native panel and review sheet, then inspect the visible window and completion message.</x:v>
      </x:c>
      <x:c r="H46" s="42" t="str">
        <x:v>Settings owns the transfer through dismissal and reports completion in the same context.</x:v>
      </x:c>
      <x:c r="I46" s="42" t="str">
        <x:v>The observed export returned focus to the editor and Settings showed no local success message.</x:v>
      </x:c>
      <x:c r="J46" s="42" t="str">
        <x:v>Transfer presentation ownership ended before the file picker and completion state finished.</x:v>
      </x:c>
      <x:c r="K46" s="42" t="str">
        <x:v>Sources/Dockit/AppModel.swift; Sources/Dockit/SettingsView.swift; Tests/DockitAppTests/AppModelTests.swift</x:v>
      </x:c>
      <x:c r="L46" s="42" t="str">
        <x:v>Closed</x:v>
      </x:c>
      <x:c r="M46" s="42" t="str">
        <x:v>TR-EXPORT-NATIVE-KEYBOARD-GREEN-001</x:v>
      </x:c>
      <x:c r="N46" s="42" t="str">
        <x:v>EV-INTERACTION-REVIEW-001, EV-TRANSFER-MODEL-GREEN-001, EV-EXPORT-NATIVE-KEYBOARD-GREEN-001, EV-NATIVE-PANEL-CORRECTION-001</x:v>
      </x:c>
      <x:c r="O46" s="42" t="str">
        <x:v>settings_lowercase</x:v>
      </x:c>
      <x:c r="P46" s="52" t="n">
        <x:v>46269.88333333333</x:v>
      </x:c>
      <x:c r="Q46" s="52" t="n">
        <x:v>46269.8978125</x:v>
      </x:c>
      <x:c r="R46" s="42" t="str">
        <x:v>The hosted transfer tests pass twice and the native keyboard export returned to Settings with local success feedback. Native import pointer and accessibility routing remain a separate open test boundary.</x:v>
      </x:c>
    </x:row>
    <x:row r="47">
      <x:c r="A47" s="42" t="str">
        <x:v>DEF-047</x:v>
      </x:c>
      <x:c r="B47" s="42" t="str">
        <x:v>TR-TRANSFER-DARK-001</x:v>
      </x:c>
      <x:c r="C47" s="42" t="str">
        <x:v>SET-004, XFR-003, XFR-006, UX-001</x:v>
      </x:c>
      <x:c r="D47" s="42" t="str">
        <x:v>Content</x:v>
      </x:c>
      <x:c r="E47" s="42" t="str">
        <x:v>P1</x:v>
      </x:c>
      <x:c r="F47" s="42" t="str">
        <x:v>Import preview described an unavailable-app preflight that no longer exists.</x:v>
      </x:c>
      <x:c r="G47" s="42" t="str">
        <x:v>Import a profile with an unavailable app and read the preview explanation.</x:v>
      </x:c>
      <x:c r="H47" s="42" t="str">
        <x:v>The preview says unavailable references stay saved and available entries apply while skipped entries are reported.</x:v>
      </x:c>
      <x:c r="I47" s="42" t="str">
        <x:v>The preview said dockit would ask to replace or skip missing apps before switching.</x:v>
      </x:c>
      <x:c r="J47" s="42" t="str">
        <x:v>UI copy was not updated with the approved one-click available-entry apply policy.</x:v>
      </x:c>
      <x:c r="K47" s="42" t="str">
        <x:v>Sources/Dockit/ImportView.swift; DEC-11</x:v>
      </x:c>
      <x:c r="L47" s="42" t="str">
        <x:v>Fixed</x:v>
      </x:c>
      <x:c r="M47" s="42" t="str">
        <x:v>TR-IMPORT-LIGHT-RETEST-001</x:v>
      </x:c>
      <x:c r="N47" s="42" t="str">
        <x:v>EV-IMPORT-DARK-BEFORE-FIX-001, EV-IMPORT-LIGHT-RETEST-001</x:v>
      </x:c>
      <x:c r="O47" s="42" t="str">
        <x:v>settings_lowercase</x:v>
      </x:c>
      <x:c r="P47" s="52" t="n">
        <x:v>46269.88333333333</x:v>
      </x:c>
      <x:c r="Q47" s="52" t="str"/>
      <x:c r="R47" s="42" t="str">
        <x:v>The native light preview now explains that unavailable apps remain saved, available entries apply, and skipped entries are reported. Keep this Fixed until the same copy passes dark appearance, keyboard, and VoiceOver checks.</x:v>
      </x:c>
    </x:row>
    <x:row r="48">
      <x:c r="A48" s="42" t="str">
        <x:v>DEF-048</x:v>
      </x:c>
      <x:c r="B48" s="42" t="str">
        <x:v>TR-TRANSFER-DARK-001</x:v>
      </x:c>
      <x:c r="C48" s="42" t="str">
        <x:v>SET-004, XFR-003, XFR-005, UX-001</x:v>
      </x:c>
      <x:c r="D48" s="42" t="str">
        <x:v>Visual</x:v>
      </x:c>
      <x:c r="E48" s="42" t="str">
        <x:v>P2</x:v>
      </x:c>
      <x:c r="F48" s="42" t="str">
        <x:v>Two unused striped import rows looked like empty records.</x:v>
      </x:c>
      <x:c r="G48" s="42" t="str">
        <x:v>Open the import preview with one collision and one unavailable app, then inspect the rows below the real content.</x:v>
      </x:c>
      <x:c r="H48" s="42" t="str">
        <x:v>Only meaningful records appear, with no decorative rows that imply missing content.</x:v>
      </x:c>
      <x:c r="I48" s="42" t="str">
        <x:v>Two alternating empty stripes remained under the populated rows.</x:v>
      </x:c>
      <x:c r="J48" s="42" t="str">
        <x:v>The preview table reserved or styled empty row space.</x:v>
      </x:c>
      <x:c r="K48" s="42" t="str">
        <x:v>Sources/Dockit/ImportView.swift</x:v>
      </x:c>
      <x:c r="L48" s="42" t="str">
        <x:v>Fixed</x:v>
      </x:c>
      <x:c r="M48" s="42" t="str">
        <x:v>TR-IMPORT-LIGHT-RETEST-001</x:v>
      </x:c>
      <x:c r="N48" s="42" t="str">
        <x:v>EV-IMPORT-DARK-BEFORE-FIX-001, EV-IMPORT-LIGHT-RETEST-001</x:v>
      </x:c>
      <x:c r="O48" s="42" t="str">
        <x:v>root</x:v>
      </x:c>
      <x:c r="P48" s="52" t="n">
        <x:v>46269.88333333333</x:v>
      </x:c>
      <x:c r="Q48" s="52" t="str"/>
      <x:c r="R48" s="42" t="str">
        <x:v>The bounded light import preview contains only meaningful rows. No unused alternating stripes appear below its populated content. Keep this Fixed until dark appearance, varied item counts, keyboard, and VoiceOver checks pass. The similar recovery-surface symptom is tracked separately as DEF-067.</x:v>
      </x:c>
    </x:row>
    <x:row r="49">
      <x:c r="A49" s="42" t="str">
        <x:v>DEF-049</x:v>
      </x:c>
      <x:c r="B49" s="42" t="str">
        <x:v>TR-CODE-REDESIGN-AUDIT-001</x:v>
      </x:c>
      <x:c r="C49" s="42" t="str">
        <x:v>PRF-009, PRF-032, REL-001, REL-002</x:v>
      </x:c>
      <x:c r="D49" s="42" t="str">
        <x:v>Data integrity</x:v>
      </x:c>
      <x:c r="E49" s="42" t="str">
        <x:v>P1</x:v>
      </x:c>
      <x:c r="F49" s="42" t="str">
        <x:v>A later rollback could restore the old real Dock while leaving the new active profile metadata.</x:v>
      </x:c>
      <x:c r="G49" s="42" t="str">
        <x:v>Promote a new active profile, trigger a later recovery failure, and restore the pre-switch Dock snapshot.</x:v>
      </x:c>
      <x:c r="H49" s="42" t="str">
        <x:v>The restored real Dock and active applied metadata describe the same verified layout while saved edits remain intact.</x:v>
      </x:c>
      <x:c r="I49" s="42" t="str">
        <x:v>The old real Dock could be paired with the new active profile record.</x:v>
      </x:c>
      <x:c r="J49" s="42" t="str">
        <x:v>Rollback state restoration did not commit the real Dock and active metadata as one accepted result.</x:v>
      </x:c>
      <x:c r="K49" s="42" t="str">
        <x:v>Sources/Dockit/AppModel.swift; Sources/DockitCore/DockActivationService.swift; Tests/DockitAppTests/AppModelTests.swift</x:v>
      </x:c>
      <x:c r="L49" s="42" t="str">
        <x:v>Fixed</x:v>
      </x:c>
      <x:c r="M49" s="42" t="str">
        <x:v>TR-APP-MODEL-GREEN-001</x:v>
      </x:c>
      <x:c r="N49" s="42" t="str">
        <x:v>EV-APP-MODEL-GREEN-001</x:v>
      </x:c>
      <x:c r="O49" s="42" t="str">
        <x:v>root</x:v>
      </x:c>
      <x:c r="P49" s="52" t="n">
        <x:v>46269.86666666667</x:v>
      </x:c>
      <x:c r="Q49" s="52" t="str"/>
      <x:c r="R49" s="42" t="str">
        <x:v>The hosted failed-reload regression passes and preserves saved edits. A real Dock failure remains open.</x:v>
      </x:c>
    </x:row>
    <x:row r="50">
      <x:c r="A50" s="42" t="str">
        <x:v>DEF-050</x:v>
      </x:c>
      <x:c r="B50" s="42" t="str">
        <x:v>TR-SETTINGS-DARK-001</x:v>
      </x:c>
      <x:c r="C50" s="42" t="str">
        <x:v>SET-004, UX-002</x:v>
      </x:c>
      <x:c r="D50" s="42" t="str">
        <x:v>Visual</x:v>
      </x:c>
      <x:c r="E50" s="42" t="str">
        <x:v>P1</x:v>
      </x:c>
      <x:c r="F50" s="42" t="str">
        <x:v>The running app still shows the superseded icon instead of the approved first concept.</x:v>
      </x:c>
      <x:c r="G50" s="42" t="str">
        <x:v>Open the About group in the current dark demo build and compare its icon with DEC-22.</x:v>
      </x:c>
      <x:c r="H50" s="42" t="str">
        <x:v>The approved warm white and pastel dockling icon appears, with its complete size ladder and separate menu bar template.</x:v>
      </x:c>
      <x:c r="I50" s="42" t="str">
        <x:v>The About group shows the older full-color concept.</x:v>
      </x:c>
      <x:c r="J50" s="42" t="str">
        <x:v>The approved first master and derived assets have not been installed.</x:v>
      </x:c>
      <x:c r="K50" s="42" t="str">
        <x:v>Design/AppIconMaster.png; Sources/Dockit/Assets.xcassets/AppIcon.appiconset; Tools/MaskAppIcon.swift; Tools/GenerateAppIcon.swift</x:v>
      </x:c>
      <x:c r="L50" s="42" t="str">
        <x:v>Fixed</x:v>
      </x:c>
      <x:c r="M50" s="42" t="str">
        <x:v>TR-REFERENCE-ICON-MASK-001</x:v>
      </x:c>
      <x:c r="N50" s="42" t="str">
        <x:v>EV-SETTINGS-ABOUT-DARK-001, EV-ICON-PIPELINE-001, EV-ICON-DRAFT-VALIDATION-001, EV-ICON-CANDIDATE-REJECTIONS-002, EV-SETTINGS-LIGHT-COMPACT-LOWER-001, EV-ICON-BACKGROUND-EXTRACTION-REJECTED-003, EV-REFERENCE-ICON-MASK-001</x:v>
      </x:c>
      <x:c r="O50" s="42" t="str">
        <x:v>root</x:v>
      </x:c>
      <x:c r="P50" s="52" t="n">
        <x:v>46269.881944444445</x:v>
      </x:c>
      <x:c r="Q50" s="52" t="str"/>
      <x:c r="R50" s="42" t="str">
        <x:v>The approved deterministic mask has now been explicitly authorized, reviewed and applied. Corrected white-and-pastel production source assets replace the old concept. Fixed, not Closed: the newly built About, Finder and real Dock rendering have not been inspected. Earlier failed generation artifacts remain historical.</x:v>
      </x:c>
    </x:row>
    <x:row r="51">
      <x:c r="A51" s="42" t="str">
        <x:v>DEF-051</x:v>
      </x:c>
      <x:c r="B51" s="42" t="str">
        <x:v>TR-EXPORT-NATIVE-DARK-001</x:v>
      </x:c>
      <x:c r="C51" s="42" t="str">
        <x:v>SET-004, XFR-001, UX-001</x:v>
      </x:c>
      <x:c r="D51" s="42" t="str">
        <x:v>Interaction</x:v>
      </x:c>
      <x:c r="E51" s="42" t="str">
        <x:v>P1</x:v>
      </x:c>
      <x:c r="F51" s="42" t="str">
        <x:v>A nested native save panel returned to export selection without writing a file.</x:v>
      </x:c>
      <x:c r="G51" s="42" t="str">
        <x:v>Open export profile selection from Settings, continue to the native save panel, edit the filename or choose save, and inspect the resulting presentation and file system.</x:v>
      </x:c>
      <x:c r="H51" s="42" t="str">
        <x:v>Selection dismisses before the native panel, save writes once, and cancel reopens selection while Settings remains the transfer host.</x:v>
      </x:c>
      <x:c r="I51" s="42" t="str">
        <x:v>The panel was nested under the selection sheet, filename interaction or save returned prematurely, and no file was written.</x:v>
      </x:c>
      <x:c r="J51" s="42" t="str">
        <x:v>A native AppKit panel was presented while the SwiftUI selection sheet still owned the window.</x:v>
      </x:c>
      <x:c r="K51" s="42" t="str">
        <x:v>Sources/Dockit/AppModel.swift; Sources/Dockit/SettingsView.swift; Tests/DockitAppTests/AppModelTests.swift</x:v>
      </x:c>
      <x:c r="L51" s="42" t="str">
        <x:v>Fixed</x:v>
      </x:c>
      <x:c r="M51" s="42" t="str">
        <x:v>TR-EXPORT-NATIVE-KEYBOARD-GREEN-001</x:v>
      </x:c>
      <x:c r="N51" s="42" t="str">
        <x:v>EV-EXPORT-NESTED-PANEL-001, EV-EXPORT-RETURN-001, EV-EXPORT-NATIVE-KEYBOARD-GREEN-001, EV-EXPORT-AFTER-FIX-ARCHIVE-001, EV-NATIVE-PANEL-CORRECTION-001</x:v>
      </x:c>
      <x:c r="O51" s="42" t="str">
        <x:v>settings_lowercase</x:v>
      </x:c>
      <x:c r="P51" s="52" t="n">
        <x:v>46269.8875</x:v>
      </x:c>
      <x:c r="Q51" s="52" t="str"/>
      <x:c r="R51" s="42" t="str">
        <x:v>Sequential presentation and native keyboard export pass. Pointer or accessibility-driven system-panel activation remains inconclusive because the screen-control transport canceled unexpectedly. Do not treat that transport result as a confirmed app failure.</x:v>
      </x:c>
    </x:row>
    <x:row r="52">
      <x:c r="A52" s="42" t="str">
        <x:v>DEF-052</x:v>
      </x:c>
      <x:c r="B52" s="42" t="str">
        <x:v>TR-COPY-HELP-AUDIT-001</x:v>
      </x:c>
      <x:c r="C52" s="42" t="str">
        <x:v>PRF-033, PRF-034, MEN-004</x:v>
      </x:c>
      <x:c r="D52" s="42" t="str">
        <x:v>Accessibility</x:v>
      </x:c>
      <x:c r="E52" s="42" t="str">
        <x:v>P2</x:v>
      </x:c>
      <x:c r="F52" s="42" t="str">
        <x:v>Keyboard selection, reorder, and delete help was not visible.</x:v>
      </x:c>
      <x:c r="G52" s="42" t="str">
        <x:v>Inspect the editor without using the accessibility inspector and look for instructions for range, disjoint selection, reorder, and delete keys.</x:v>
      </x:c>
      <x:c r="H52" s="42" t="str">
        <x:v>Compact visible help makes the supported keyboard model discoverable while accessibility hints provide the same detail.</x:v>
      </x:c>
      <x:c r="I52" s="42" t="str">
        <x:v>The guidance existed only as an accessibility hint.</x:v>
      </x:c>
      <x:c r="J52" s="42" t="str">
        <x:v>Interaction guidance was attached to accessibility metadata but omitted from the visual hierarchy.</x:v>
      </x:c>
      <x:c r="K52" s="42" t="str">
        <x:v>Sources/Dockit/ProfileDetailView.swift</x:v>
      </x:c>
      <x:c r="L52" s="42" t="str">
        <x:v>Fixing</x:v>
      </x:c>
      <x:c r="M52" s="42" t="str"/>
      <x:c r="N52" s="42" t="str">
        <x:v>EV-COPY-HELP-AUDIT-001</x:v>
      </x:c>
      <x:c r="O52" s="42" t="str">
        <x:v>root</x:v>
      </x:c>
      <x:c r="P52" s="52" t="n">
        <x:v>46269.88784722222</x:v>
      </x:c>
      <x:c r="Q52" s="52" t="str"/>
      <x:c r="R52" s="42" t="str">
        <x:v>Visible help is being added. Minimum-width and VoiceOver retests remain open.</x:v>
      </x:c>
    </x:row>
    <x:row r="53">
      <x:c r="A53" s="42" t="str">
        <x:v>DEF-053</x:v>
      </x:c>
      <x:c r="B53" s="42" t="str">
        <x:v>TR-COPY-HELP-AUDIT-001</x:v>
      </x:c>
      <x:c r="C53" s="42" t="str">
        <x:v>PRF-007</x:v>
      </x:c>
      <x:c r="D53" s="42" t="str">
        <x:v>Content</x:v>
      </x:c>
      <x:c r="E53" s="42" t="str">
        <x:v>P2</x:v>
      </x:c>
      <x:c r="F53" s="42" t="str">
        <x:v>Profile deletion confirmation used make-active wording instead of apply.</x:v>
      </x:c>
      <x:c r="G53" s="42" t="str">
        <x:v>Open deletion confirmation for the relevant selected or active profile and read the next-action guidance.</x:v>
      </x:c>
      <x:c r="H53" s="42" t="str">
        <x:v>Copy uses the current apply action and explains that deletion leaves the actual Dock in place.</x:v>
      </x:c>
      <x:c r="I53" s="42" t="str">
        <x:v>The confirmation told the user to make another profile active.</x:v>
      </x:c>
      <x:c r="J53" s="42" t="str">
        <x:v>Deletion copy retained terminology from the superseded activation design.</x:v>
      </x:c>
      <x:c r="K53" s="42" t="str">
        <x:v>Sources/Dockit/ProfileDetailView.swift</x:v>
      </x:c>
      <x:c r="L53" s="42" t="str">
        <x:v>Fixing</x:v>
      </x:c>
      <x:c r="M53" s="42" t="str"/>
      <x:c r="N53" s="42" t="str">
        <x:v>EV-COPY-HELP-AUDIT-001</x:v>
      </x:c>
      <x:c r="O53" s="42" t="str">
        <x:v>root</x:v>
      </x:c>
      <x:c r="P53" s="52" t="n">
        <x:v>46269.88784722222</x:v>
      </x:c>
      <x:c r="Q53" s="52" t="str"/>
      <x:c r="R53" s="42" t="str">
        <x:v>Post-fix confirmation copy and cancellation need runtime retest.</x:v>
      </x:c>
    </x:row>
    <x:row r="54">
      <x:c r="A54" s="42" t="str">
        <x:v>DEF-054</x:v>
      </x:c>
      <x:c r="B54" s="42" t="str">
        <x:v>TR-COPY-HELP-AUDIT-001</x:v>
      </x:c>
      <x:c r="C54" s="42" t="str">
        <x:v>XFR-006</x:v>
      </x:c>
      <x:c r="D54" s="42" t="str">
        <x:v>Content</x:v>
      </x:c>
      <x:c r="E54" s="42" t="str">
        <x:v>P2</x:v>
      </x:c>
      <x:c r="F54" s="42" t="str">
        <x:v>Manual unavailable-app review reported that switching was canceled.</x:v>
      </x:c>
      <x:c r="G54" s="42" t="str">
        <x:v>Use the manual unavailable-app review path after approving an apply that skips unavailable entries and read its result message.</x:v>
      </x:c>
      <x:c r="H54" s="42" t="str">
        <x:v>The result states that available entries applied and identifies skipped unavailable entries.</x:v>
      </x:c>
      <x:c r="I54" s="42" t="str">
        <x:v>The result said switch canceled.</x:v>
      </x:c>
      <x:c r="J54" s="42" t="str">
        <x:v>A removed cancellation branch still supplied the completion copy.</x:v>
      </x:c>
      <x:c r="K54" s="42" t="str">
        <x:v>Sources/Dockit/AppModel.swift; DEC-11</x:v>
      </x:c>
      <x:c r="L54" s="42" t="str">
        <x:v>Fixing</x:v>
      </x:c>
      <x:c r="M54" s="42"/>
      <x:c r="N54" s="42" t="str">
        <x:v>EV-COPY-HELP-AUDIT-001, EV-MISSING-APPS-CANCEL-LIGHT-001, EV-MISSING-APPS-SKIP-DEMO-LIGHT-001</x:v>
      </x:c>
      <x:c r="O54" s="42" t="str">
        <x:v>settings_lowercase</x:v>
      </x:c>
      <x:c r="P54" s="52" t="n">
        <x:v>46269.88784722222</x:v>
      </x:c>
      <x:c r="Q54" s="52" t="str"/>
      <x:c r="R54" s="42" t="str">
        <x:v>Light cancel passes and the demo skip-and-apply path retains the unavailable entry while making the profile current. DEF-054 remains Fixing because the production skipped-entry completion report is not emitted by the demo branch and still needs runtime verification.</x:v>
      </x:c>
    </x:row>
    <x:row r="55">
      <x:c r="A55" s="42" t="str">
        <x:v>DEF-055</x:v>
      </x:c>
      <x:c r="B55" s="42" t="str">
        <x:v>TR-COPY-HELP-AUDIT-001</x:v>
      </x:c>
      <x:c r="C55" s="42" t="str">
        <x:v>PRF-030, XFR-006, REL-001</x:v>
      </x:c>
      <x:c r="D55" s="42" t="str">
        <x:v>Data integrity</x:v>
      </x:c>
      <x:c r="E55" s="42" t="str">
        <x:v>P1</x:v>
      </x:c>
      <x:c r="F55" s="42" t="str">
        <x:v>Relink save failure discarded the user's chosen replacement.</x:v>
      </x:c>
      <x:c r="G55" s="42" t="str">
        <x:v>Choose a replacement for an unavailable saved app, inject the next library save failure, and inspect the in-memory profile and retry state.</x:v>
      </x:c>
      <x:c r="H55" s="42" t="str">
        <x:v>The replacement remains in the editing buffer, a save error stays visible, apply is blocked, and retry is available in the unavailable-app review.</x:v>
      </x:c>
      <x:c r="I55" s="42" t="str">
        <x:v>AppModel restored the original library and discarded the selected replacement.</x:v>
      </x:c>
      <x:c r="J55" s="42" t="str">
        <x:v>The relink failure path rolled back user intent instead of following the shared retryable editing-buffer policy.</x:v>
      </x:c>
      <x:c r="K55" s="42" t="str">
        <x:v>Sources/Dockit/AppModel.swift; Sources/Dockit/MissingAppsView.swift; Tests/DockitAppTests/AppModelTests.swift</x:v>
      </x:c>
      <x:c r="L55" s="42" t="str">
        <x:v>Fixed</x:v>
      </x:c>
      <x:c r="M55" s="42" t="str">
        <x:v>TR-ACTIVATION-RELINK-GREEN-001, TR-ACTIVATION-RELINK-GREEN-002</x:v>
      </x:c>
      <x:c r="N55" s="42" t="str">
        <x:v>EV-COPY-HELP-AUDIT-001, EV-ACTIVATION-RELINK-RED-001, EV-ACTIVATION-RELINK-GREEN-001, EV-ACTIVATION-RELINK-GREEN-002, EV-ACTIVATION-RELINK-SUMMARY-001</x:v>
      </x:c>
      <x:c r="O55" s="42" t="str">
        <x:v>root</x:v>
      </x:c>
      <x:c r="P55" s="52" t="n">
        <x:v>46269.88888888889</x:v>
      </x:c>
      <x:c r="Q55" s="52" t="str"/>
      <x:c r="R55" s="42" t="str">
        <x:v>A focused red test reproduced four failed expectations. The replacement buffer, save error, apply gate, and retry behavior then passed in two unchanged 35-test suites. Keep this Fixed until the visible missing-app retry path is exercised.</x:v>
      </x:c>
    </x:row>
    <x:row r="56">
      <x:c r="A56" s="42" t="str">
        <x:v>DEF-058</x:v>
      </x:c>
      <x:c r="B56" s="42" t="str">
        <x:v>TR-LEDGER-CHECKPOINT-VISUAL-001</x:v>
      </x:c>
      <x:c r="C56" s="42" t="str">
        <x:v>MOT-001, MOT-004</x:v>
      </x:c>
      <x:c r="D56" s="42" t="str">
        <x:v>Specification</x:v>
      </x:c>
      <x:c r="E56" s="42" t="str">
        <x:v>P1</x:v>
      </x:c>
      <x:c r="F56" s="42" t="str">
        <x:v>The blackout definition counted normal wallpaper shown while the Dock was absent.</x:v>
      </x:c>
      <x:c r="G56" s="42" t="str">
        <x:v>Open the readable MOT-001 checkpoint render and compare its expected behavior with separate background blackout, first-return, and settling metrics.</x:v>
      </x:c>
      <x:c r="H56" s="42" t="str">
        <x:v>Blackout covers only intervals where the expected wallpaper or background disappears or becomes a black or flat placeholder.</x:v>
      </x:c>
      <x:c r="I56" s="42" t="str">
        <x:v>The definition described wallpaper shown instead of Dock content as blackout.</x:v>
      </x:c>
      <x:c r="J56" s="42" t="str">
        <x:v>The story used Dock presence as the visual boundary instead of background continuity.</x:v>
      </x:c>
      <x:c r="K56" s="42" t="str">
        <x:v>DEC-25; Stories!MOT-001; artifacts/ledger/post-checkpoint-followup-20260904.json</x:v>
      </x:c>
      <x:c r="L56" s="42" t="str">
        <x:v>Closed</x:v>
      </x:c>
      <x:c r="M56" s="42" t="str">
        <x:v>TR-LEDGER-METRIC-RETEST-001</x:v>
      </x:c>
      <x:c r="N56" s="42" t="str">
        <x:v>EV-LEDGER-METRIC-BEFORE-001, EV-LEDGER-METRIC-AFTER-001</x:v>
      </x:c>
      <x:c r="O56" s="42" t="str">
        <x:v>blackout_benchmark_resume</x:v>
      </x:c>
      <x:c r="P56" s="52" t="n">
        <x:v>46269.894791666666</x:v>
      </x:c>
      <x:c r="Q56" s="52" t="n">
        <x:v>46269.90416666667</x:v>
      </x:c>
      <x:c r="R56" s="42" t="str">
        <x:v>The audit remains append-only. The corrected story does not mark any real timing verdict complete.</x:v>
      </x:c>
    </x:row>
    <x:row r="57">
      <x:c r="A57" s="42" t="str">
        <x:v>DEF-057</x:v>
      </x:c>
      <x:c r="B57" s="42" t="str">
        <x:v>TR-TRANSFER-INGRESS-RED-001</x:v>
      </x:c>
      <x:c r="C57" s="42" t="str">
        <x:v>SET-004, XFR-001, XFR-003</x:v>
      </x:c>
      <x:c r="D57" s="42" t="str">
        <x:v>Concurrency</x:v>
      </x:c>
      <x:c r="E57" s="42" t="str">
        <x:v>P1</x:v>
      </x:c>
      <x:c r="F57" s="42" t="str">
        <x:v>Finder open could replace an active Settings transfer host before rejection.</x:v>
      </x:c>
      <x:c r="G57" s="42" t="str">
        <x:v>Start a Settings export or import presentation, then deliver a Finder open request during selection, panel, completion, or import preview.</x:v>
      </x:c>
      <x:c r="H57" s="42" t="str">
        <x:v>The new request is rejected before any host or presentation state changes.</x:v>
      </x:c>
      <x:c r="I57" s="42" t="str">
        <x:v>The transfer host changed from settings to management before the request was rejected.</x:v>
      </x:c>
      <x:c r="J57" s="42" t="str">
        <x:v>Ingress validation occurred after transfer presentation host mutation.</x:v>
      </x:c>
      <x:c r="K57" s="42" t="str">
        <x:v>Sources/Dockit/AppModel.swift; Tests/DockitAppTests/AppModelTests.swift</x:v>
      </x:c>
      <x:c r="L57" s="42" t="str">
        <x:v>Fixed</x:v>
      </x:c>
      <x:c r="M57" s="42" t="str">
        <x:v>TR-TRANSFER-INGRESS-GREEN-001</x:v>
      </x:c>
      <x:c r="N57" s="42" t="str">
        <x:v>EV-TRANSFER-FOLLOWUP-MODEL-001</x:v>
      </x:c>
      <x:c r="O57" s="42" t="str">
        <x:v>settings_lowercase</x:v>
      </x:c>
      <x:c r="P57" s="52" t="n">
        <x:v>46269.89450231481</x:v>
      </x:c>
      <x:c r="Q57" s="52" t="str"/>
      <x:c r="R57" s="42" t="str">
        <x:v>The model fix passed twice. A live Finder event retest remains open.</x:v>
      </x:c>
    </x:row>
    <x:row r="58">
      <x:c r="A58" s="42" t="str">
        <x:v>DEF-056</x:v>
      </x:c>
      <x:c r="B58" s="42" t="str">
        <x:v>TR-ACTIVATION-DUPLICATE-AUDIT-001</x:v>
      </x:c>
      <x:c r="C58" s="42" t="str">
        <x:v>PRF-010, PRF-025, FOC-003, REL-001</x:v>
      </x:c>
      <x:c r="D58" s="42" t="str">
        <x:v>Concurrency</x:v>
      </x:c>
      <x:c r="E58" s="42" t="str">
        <x:v>P1</x:v>
      </x:c>
      <x:c r="F58" s="42" t="str">
        <x:v>Duplicate activation could report success before the current switch verified.</x:v>
      </x:c>
      <x:c r="G58" s="42" t="str">
        <x:v>Start applying a profile, issue a duplicate or Focus request for the same profile, then make the in-flight reload or verification fail.</x:v>
      </x:c>
      <x:c r="H58" s="42" t="str">
        <x:v>Both callers resolve only after serialized verification and both receive the truthful final result.</x:v>
      </x:c>
      <x:c r="I58" s="42" t="str">
        <x:v>The duplicate path returned true and resumed queued continuations before the in-flight result was known.</x:v>
      </x:c>
      <x:c r="J58" s="42" t="str">
        <x:v>An early same-profile optimization bypassed the serialized activation queue and verified real-layout comparison.</x:v>
      </x:c>
      <x:c r="K58" s="42" t="str">
        <x:v>Sources/Dockit/AppModel.swift; Tests/DockitAppTests/AppModelTests.swift</x:v>
      </x:c>
      <x:c r="L58" s="42" t="str">
        <x:v>Fixed</x:v>
      </x:c>
      <x:c r="M58" s="42" t="str">
        <x:v>TR-ACTIVATION-RELINK-GREEN-001, TR-ACTIVATION-RELINK-GREEN-002</x:v>
      </x:c>
      <x:c r="N58" s="42" t="str">
        <x:v>EV-ACTIVATION-DUPLICATE-AUDIT-001, EV-ACTIVATION-RELINK-RED-001, EV-ACTIVATION-RELINK-GREEN-001, EV-ACTIVATION-RELINK-GREEN-002, EV-ACTIVATION-RELINK-SUMMARY-001</x:v>
      </x:c>
      <x:c r="O58" s="42" t="str">
        <x:v>root</x:v>
      </x:c>
      <x:c r="P58" s="52" t="n">
        <x:v>46269.9</x:v>
      </x:c>
      <x:c r="Q58" s="52" t="str"/>
      <x:c r="R58" s="42" t="str">
        <x:v>The red suite reproduced premature success across success, failure, coalescing, and direct Focus metadata cases. Removing the early return passed the complete 35-test suite twice. Keep this Fixed until live apply and Focus recovery regressions run.</x:v>
      </x:c>
    </x:row>
    <x:row r="59">
      <x:c r="A59" s="42" t="str">
        <x:v>DEF-059</x:v>
      </x:c>
      <x:c r="B59" s="42" t="str">
        <x:v>TR-LIQUID-GLASS-DEFAULT-FIT-001</x:v>
      </x:c>
      <x:c r="C59" s="42" t="str">
        <x:v>UX-003</x:v>
      </x:c>
      <x:c r="D59" s="42" t="str">
        <x:v>Responsive layout</x:v>
      </x:c>
      <x:c r="E59" s="42" t="str">
        <x:v>P1</x:v>
      </x:c>
      <x:c r="F59" s="42" t="str">
        <x:v>The default editor height did not select the intended fixed-chrome layout.</x:v>
      </x:c>
      <x:c r="G59" s="42" t="str">
        <x:v>Open the work fixture at the default 620 by 260 point content size and inspect the editor hierarchy, then increase the content height to about 368 points and compare.</x:v>
      </x:c>
      <x:c r="H59" s="42" t="str">
        <x:v>The default-size editor keeps native fixed chrome outside an ordinary adaptive content scroller.</x:v>
      </x:c>
      <x:c r="I59" s="42" t="str">
        <x:v>At the default height the entire editor content became one scroll view and the apply or edit controls remained small ordinary fallback buttons. The intended fixed region appeared only at the taller height.</x:v>
      </x:c>
      <x:c r="J59" s="42" t="str">
        <x:v>The layout-fit threshold excludes the approved fixed-chrome composition at the product's own default height.</x:v>
      </x:c>
      <x:c r="K59" s="42" t="str">
        <x:v>Sources/Dockit/ProfileDetailView.swift</x:v>
      </x:c>
      <x:c r="L59" s="42" t="str">
        <x:v>Fixed</x:v>
      </x:c>
      <x:c r="M59" s="42" t="str">
        <x:v>TR-LIQUID-GLASS-FIRST-RETEST-001</x:v>
      </x:c>
      <x:c r="N59" s="42" t="str">
        <x:v>EV-LIQUID-GLASS-DEFAULT-FIT-001, EV-REFERENCE-DETAIL-APP-BEFORE-001, EV-REFERENCE-FRAME-000000-001, EV-LIQUID-GLASS-REVIEW-001, EV-LIQUID-GLASS-FIRST-AFTER-001, EV-LIQUID-GLASS-FOCUSED-CONTRAST-001</x:v>
      </x:c>
      <x:c r="O59" s="42" t="str">
        <x:v>liquid_glass_feasibility</x:v>
      </x:c>
      <x:c r="P59" s="52" t="n">
        <x:v>46269.92083333333</x:v>
      </x:c>
      <x:c r="Q59" s="52" t="str"/>
      <x:c r="R59" s="42" t="str">
        <x:v>The default 620 by 260 point content height now selects the fixed-chrome composition for the tested work and long-name states. Keep this Fixed until minimum height and constrained fallback regressions pass.</x:v>
      </x:c>
    </x:row>
    <x:row r="60">
      <x:c r="A60" s="42" t="str">
        <x:v>DEF-060</x:v>
      </x:c>
      <x:c r="B60" s="42" t="str">
        <x:v>TR-REFERENCE-DETAIL-VISUAL-001</x:v>
      </x:c>
      <x:c r="C60" s="42" t="str">
        <x:v>PRF-028, PRF-023, MEN-005</x:v>
      </x:c>
      <x:c r="D60" s="42" t="str">
        <x:v>Visual fidelity</x:v>
      </x:c>
      <x:c r="E60" s="42" t="str">
        <x:v>P2</x:v>
      </x:c>
      <x:c r="F60" s="42" t="str">
        <x:v>Saved Dock spacers use dashed empty rectangles instead of the approved native slot treatment.</x:v>
      </x:c>
      <x:c r="G60" s="42" t="str">
        <x:v>Open a profile containing regular spacers and compare its preview with source frame 0.</x:v>
      </x:c>
      <x:c r="H60" s="42" t="str">
        <x:v>Each spacer reads as a softly filled rounded slot with a restrained vertical center rule while preserving spacer size and position.</x:v>
      </x:c>
      <x:c r="I60" s="42" t="str">
        <x:v>Each spacer appears as an empty dashed rectangle, which reads as a missing item or drop target.</x:v>
      </x:c>
      <x:c r="J60" s="42" t="str">
        <x:v>The preview used a generic dashed placeholder representation instead of the approved spacer visual language.</x:v>
      </x:c>
      <x:c r="K60" s="42" t="str">
        <x:v>Sources/Dockit/ProfileDetailView.swift</x:v>
      </x:c>
      <x:c r="L60" s="42" t="str">
        <x:v>Fixed</x:v>
      </x:c>
      <x:c r="M60" s="42" t="str">
        <x:v>TR-SMALL-SPACER-KEYBOARD-LIGHT-001</x:v>
      </x:c>
      <x:c r="N60" s="42" t="str">
        <x:v>EV-REFERENCE-DETAIL-APP-BEFORE-001, EV-REFERENCE-FRAME-000000-001, EV-LIQUID-GLASS-REVIEW-001, EV-LIQUID-GLASS-FIRST-AFTER-001, EV-SMALL-SPACER-KEYBOARD-LIGHT-001</x:v>
      </x:c>
      <x:c r="O60" s="42" t="str">
        <x:v>liquid_glass_feasibility</x:v>
      </x:c>
      <x:c r="P60" s="52" t="n">
        <x:v>46269.925</x:v>
      </x:c>
      <x:c r="Q60" s="52"/>
      <x:c r="R60" s="42" t="str">
        <x:v>Regular and small spacer treatments are now distinct and readable in the tested light editor states. Keep this Fixed until removal, pointer drag, dark appearance, focus, selection ranges, Reduced Transparency, Increased Contrast, and VoiceOver checks pass.</x:v>
      </x:c>
    </x:row>
    <x:row r="61">
      <x:c r="A61" s="42" t="str">
        <x:v>DEF-061</x:v>
      </x:c>
      <x:c r="B61" s="42" t="str">
        <x:v>TR-REFERENCE-DETAIL-VISUAL-001</x:v>
      </x:c>
      <x:c r="C61" s="42" t="str">
        <x:v>PRF-004, PRF-023, MEN-005</x:v>
      </x:c>
      <x:c r="D61" s="42" t="str">
        <x:v>Color and contrast</x:v>
      </x:c>
      <x:c r="E61" s="42" t="str">
        <x:v>P2</x:v>
      </x:c>
      <x:c r="F61" s="42" t="str">
        <x:v>The white profile-identity backing disappears against the light window.</x:v>
      </x:c>
      <x:c r="G61" s="42" t="str">
        <x:v>Open a colored profile in light appearance and compare the identity treatment with source frame 0.</x:v>
      </x:c>
      <x:c r="H61" s="42" t="str">
        <x:v>A restrained visible white or semantic backing separates the colored identity squircle from the window in light and dark appearance.</x:v>
      </x:c>
      <x:c r="I61" s="42" t="str">
        <x:v>The backing is visually lost on the white window, leaving only the colored square.</x:v>
      </x:c>
      <x:c r="J61" s="42" t="str">
        <x:v>The identity backing has insufficient boundary contrast against the light content surface.</x:v>
      </x:c>
      <x:c r="K61" s="42" t="str">
        <x:v>Sources/Dockit/ProfileDetailView.swift</x:v>
      </x:c>
      <x:c r="L61" s="42" t="str">
        <x:v>Fixed</x:v>
      </x:c>
      <x:c r="M61" s="42" t="str">
        <x:v>TR-LIQUID-GLASS-FIRST-RETEST-001</x:v>
      </x:c>
      <x:c r="N61" s="42" t="str">
        <x:v>EV-REFERENCE-DETAIL-APP-BEFORE-001, EV-REFERENCE-FRAME-000000-001, EV-LIQUID-GLASS-REVIEW-001, EV-LIQUID-GLASS-FIRST-AFTER-001, EV-LIQUID-GLASS-FOCUSED-CONTRAST-001, EV-PROFILE-COLOR-TESTS-001, EV-PROFILE-COLOR-AUDIT-001</x:v>
      </x:c>
      <x:c r="O61" s="42" t="str">
        <x:v>activation_recovery_fix</x:v>
      </x:c>
      <x:c r="P61" s="52" t="n">
        <x:v>46269.925</x:v>
      </x:c>
      <x:c r="Q61" s="52"/>
      <x:c r="R61" s="42" t="str">
        <x:v>The white semantic identity backing is visible in the tested light editor. The palette audit records a 14 percent black decorative boundary and passing graphical-contrast checks. Keep this Fixed until dark, Reduced Transparency, and Increased Contrast checks pass.</x:v>
      </x:c>
    </x:row>
    <x:row r="62">
      <x:c r="A62" s="42" t="str">
        <x:v>DEF-062</x:v>
      </x:c>
      <x:c r="B62" s="42" t="str">
        <x:v>TR-REFERENCE-DETAIL-VISUAL-001</x:v>
      </x:c>
      <x:c r="C62" s="42" t="str">
        <x:v>PRF-004, PRF-023, MEN-005</x:v>
      </x:c>
      <x:c r="D62" s="42" t="str">
        <x:v>Visual consistency</x:v>
      </x:c>
      <x:c r="E62" s="42" t="str">
        <x:v>P2</x:v>
      </x:c>
      <x:c r="F62" s="42" t="str">
        <x:v>The profile picker or menu swatch shape does not match the profile identity squircle.</x:v>
      </x:c>
      <x:c r="G62" s="42" t="str">
        <x:v>Compare the selected profile identity, picker indicator, and profile menu swatch for the same color.</x:v>
      </x:c>
      <x:c r="H62" s="42" t="str">
        <x:v>Profile identity uses one consistent small squircle across the editor and profile switching surfaces.</x:v>
      </x:c>
      <x:c r="I62" s="42" t="str">
        <x:v>The switching swatch is circular or absent while the main identity is a squircle.</x:v>
      </x:c>
      <x:c r="J62" s="42" t="str">
        <x:v>Profile color indicators were implemented by surface instead of through one shared identity shape.</x:v>
      </x:c>
      <x:c r="K62" s="42" t="str">
        <x:v>Sources/Dockit/ProfileDetailView.swift</x:v>
      </x:c>
      <x:c r="L62" s="42" t="str">
        <x:v>Fixed</x:v>
      </x:c>
      <x:c r="M62" s="42" t="str">
        <x:v>TR-LIQUID-GLASS-FIRST-RETEST-001</x:v>
      </x:c>
      <x:c r="N62" s="42" t="str">
        <x:v>EV-REFERENCE-DETAIL-APP-BEFORE-001, EV-REFERENCE-FRAME-000000-001, EV-LIQUID-GLASS-REVIEW-001, EV-LIQUID-GLASS-FIRST-AFTER-001, EV-PROFILE-COLOR-TESTS-001, EV-PROFILE-COLOR-AUDIT-001</x:v>
      </x:c>
      <x:c r="O62" s="42" t="str">
        <x:v>liquid_glass_feasibility</x:v>
      </x:c>
      <x:c r="P62" s="52" t="n">
        <x:v>46269.925</x:v>
      </x:c>
      <x:c r="Q62" s="52"/>
      <x:c r="R62" s="42" t="str">
        <x:v>The toolbar picker uses the shared squircle identity renderer, and the color-style tests preserve all saved identifiers. Keep this Fixed until the native app menu and menu bar swatches are retested separately.</x:v>
      </x:c>
    </x:row>
    <x:row r="63">
      <x:c r="A63" s="42" t="str">
        <x:v>DEF-063</x:v>
      </x:c>
      <x:c r="B63" s="42" t="str">
        <x:v>TR-REFERENCE-DETAIL-VISUAL-001</x:v>
      </x:c>
      <x:c r="C63" s="42" t="str">
        <x:v>PRF-023, MEN-005, UX-003</x:v>
      </x:c>
      <x:c r="D63" s="42" t="str">
        <x:v>Layout</x:v>
      </x:c>
      <x:c r="E63" s="42" t="str">
        <x:v>P2</x:v>
      </x:c>
      <x:c r="F63" s="42" t="str">
        <x:v>The profile picker occupies an extra body row and lacks the approved paired chevrons.</x:v>
      </x:c>
      <x:c r="G63" s="42" t="str">
        <x:v>Open the editor at default size and compare the picker location and disclosure symbol with source frame 0.</x:v>
      </x:c>
      <x:c r="H63" s="42" t="str">
        <x:v>The profile picker shares the traffic-light row and uses paired up and down chevrons without stealing content height.</x:v>
      </x:c>
      <x:c r="I63" s="42" t="str">
        <x:v>The picker now shares the traffic-light row, stays anchored to the trailing edge, uses the profile squircle, and renders both disclosure chevrons inside the native control.</x:v>
      </x:c>
      <x:c r="J63" s="42" t="str">
        <x:v>The native Menu bridge discarded a separate trailing image. Removing the redundant title exposed a temporary leading alignment that required a flexible native toolbar spacer.</x:v>
      </x:c>
      <x:c r="K63" s="42" t="str">
        <x:v>Sources/Dockit/DockitApp.swift; Sources/Dockit/ProfileDetailView.swift</x:v>
      </x:c>
      <x:c r="L63" s="42" t="str">
        <x:v>Fixed</x:v>
      </x:c>
      <x:c r="M63" s="42" t="str">
        <x:v>TR-EDITOR-FINAL-CHROME-001</x:v>
      </x:c>
      <x:c r="N63" s="42" t="str">
        <x:v>EV-REFERENCE-DETAIL-APP-BEFORE-001, EV-REFERENCE-FRAME-000000-001, EV-LIQUID-GLASS-REVIEW-001, EV-LIQUID-GLASS-FIRST-AFTER-001, EV-LIQUID-GLASS-FOCUSED-CONTRAST-001, EV-EDITOR-FINAL-CHROME-LIGHT-001, EV-EDITOR-FINAL-CHROME-DARK-001</x:v>
      </x:c>
      <x:c r="O63" s="42" t="str">
        <x:v>liquid_glass_feasibility</x:v>
      </x:c>
      <x:c r="P63" s="52" t="n">
        <x:v>46269.925</x:v>
      </x:c>
      <x:c r="Q63" s="52" t="str"/>
      <x:c r="R63" s="42" t="str">
        <x:v>Light and dark default and minimum captures pass the visual picker contract. Keep this Fixed until picker keyboard navigation and VoiceOver speech confirm that the native Text attachment placeholder does not degrade the spoken label.</x:v>
      </x:c>
    </x:row>
    <x:row r="64">
      <x:c r="A64" s="42" t="str">
        <x:v>DEF-064</x:v>
      </x:c>
      <x:c r="B64" s="42" t="str">
        <x:v>TR-LIQUID-GLASS-FIRST-RETEST-001</x:v>
      </x:c>
      <x:c r="C64" s="42" t="str">
        <x:v>PRF-023, MEN-005, UX-003</x:v>
      </x:c>
      <x:c r="D64" s="42" t="str">
        <x:v>Color and contrast</x:v>
      </x:c>
      <x:c r="E64" s="42" t="str">
        <x:v>P1</x:v>
      </x:c>
      <x:c r="F64" s="42" t="str">
        <x:v>The focused prominent Apply button uses cyan text on a cyan-blue fill.</x:v>
      </x:c>
      <x:c r="G64" s="42" t="str">
        <x:v>Open a profile in the active light window at default size and inspect the prominent Apply control.</x:v>
      </x:c>
      <x:c r="H64" s="42" t="str">
        <x:v>The native glass action uses a system foreground with clear legibility against every control state and appearance.</x:v>
      </x:c>
      <x:c r="I64" s="42" t="str">
        <x:v>The Apply label now uses a dark foreground in light appearance and a light foreground in dark appearance, remaining visually distinct from the blue glass fill.</x:v>
      </x:c>
      <x:c r="J64" s="42" t="str">
        <x:v>The prior implementation forced the action accent into the foreground on top of an accent-tinted prominent fill.</x:v>
      </x:c>
      <x:c r="K64" s="42" t="str">
        <x:v>Sources/Dockit/ProfileDetailView.swift</x:v>
      </x:c>
      <x:c r="L64" s="42" t="str">
        <x:v>Fixed</x:v>
      </x:c>
      <x:c r="M64" s="42" t="str">
        <x:v>TR-EDITOR-FINAL-CHROME-001</x:v>
      </x:c>
      <x:c r="N64" s="42" t="str">
        <x:v>EV-LIQUID-GLASS-FIRST-AFTER-001, EV-LIQUID-GLASS-FOCUSED-CONTRAST-001, EV-EDITOR-FINAL-CHROME-LIGHT-001, EV-EDITOR-FINAL-CHROME-DARK-001</x:v>
      </x:c>
      <x:c r="O64" s="42" t="str">
        <x:v>liquid_glass_feasibility</x:v>
      </x:c>
      <x:c r="P64" s="52" t="n">
        <x:v>46269.92916666667</x:v>
      </x:c>
      <x:c r="Q64" s="52" t="str"/>
      <x:c r="R64" s="42" t="str">
        <x:v>Focused light and dark screenshots now show readable foregrounds. Keep this Fixed until disabled, pressed, Increased Contrast, and Reduced Transparency states pass.</x:v>
      </x:c>
    </x:row>
    <x:row r="65">
      <x:c r="A65" s="42" t="str">
        <x:v>DEF-065</x:v>
      </x:c>
      <x:c r="B65" s="42" t="str">
        <x:v>TR-DETAILS-SCROLL-BOUNDARY-RED-001</x:v>
      </x:c>
      <x:c r="C65" s="42" t="str">
        <x:v>PRF-023, MEN-005, UX-001, UX-003</x:v>
      </x:c>
      <x:c r="D65" s="42" t="str">
        <x:v>Layout and accessibility</x:v>
      </x:c>
      <x:c r="E65" s="42" t="str">
        <x:v>P1</x:v>
      </x:c>
      <x:c r="F65" s="42" t="str">
        <x:v>Expanding details at minimum height moves the fixed editor chrome into the outer scrolling fallback.</x:v>
      </x:c>
      <x:c r="G65" s="42" t="str">
        <x:v>Open a profile at 520 by 300 pixels in dark appearance, then expand show details.</x:v>
      </x:c>
      <x:c r="H65" s="42" t="str">
        <x:v>The identity, actions, and preview stay fixed while only the lower details content scrolls independently.</x:v>
      </x:c>
      <x:c r="I65" s="42" t="str">
        <x:v>The entire body becomes one ScrollView, displacing the identity and clipping the actions at the top edge.</x:v>
      </x:c>
      <x:c r="J65" s="42" t="str">
        <x:v>The expanded lower content contributed its full ideal height to ViewThatFits, causing the fixed candidate to be rejected despite enough space for its upper region.</x:v>
      </x:c>
      <x:c r="K65" s="42" t="str">
        <x:v>Sources/Dockit/ProfileDetailView.swift; DEC-26</x:v>
      </x:c>
      <x:c r="L65" s="42" t="str">
        <x:v>Fixed</x:v>
      </x:c>
      <x:c r="M65" s="42" t="str">
        <x:v>TR-DETAILS-INDEPENDENT-SCROLL-GREEN-001</x:v>
      </x:c>
      <x:c r="N65" s="42" t="str">
        <x:v>EV-DETAILS-SCROLL-BOUNDARY-RED-001, EV-DETAILS-INDEPENDENT-OPEN-001, EV-DETAILS-INDEPENDENT-SCROLLED-001</x:v>
      </x:c>
      <x:c r="O65" s="42" t="str">
        <x:v>liquid_glass_feasibility</x:v>
      </x:c>
      <x:c r="P65" s="52" t="n">
        <x:v>46269.94097222222</x:v>
      </x:c>
      <x:c r="Q65" s="52" t="str"/>
      <x:c r="R65" s="42" t="str">
        <x:v>An explicit 36 point ideal height keeps the lower details scroller from inflating the fixed candidate. The dark minimum open and scrolled states pass visually and expose the intended container boundary. Keep this Fixed until light, other content sizes, keyboard, VoiceOver, and disclosure-motion regressions pass.</x:v>
      </x:c>
    </x:row>
    <x:row r="66">
      <x:c r="A66" s="42" t="str">
        <x:v>DEF-066</x:v>
      </x:c>
      <x:c r="B66" s="42" t="str">
        <x:v>TR-REFERENCE-CONTINUOUS-SURFACE-AUDIT-001</x:v>
      </x:c>
      <x:c r="C66" s="42" t="str">
        <x:v>PRF-023, MEN-005, UX-003, MOT-005</x:v>
      </x:c>
      <x:c r="D66" s="42" t="str">
        <x:v>Visual fidelity</x:v>
      </x:c>
      <x:c r="E66" s="42" t="str">
        <x:v>P1</x:v>
      </x:c>
      <x:c r="F66" s="42" t="str">
        <x:v>A horizontal divider below the traffic lights breaks the reference's continuous editor surface.</x:v>
      </x:c>
      <x:c r="G66" s="42" t="str">
        <x:v>Open the final light editor and compare the boundary below its traffic lights and picker with source frame 0.</x:v>
      </x:c>
      <x:c r="H66" s="42" t="str">
        <x:v>The titlebar row and editor content read as one continuous surface with no dividing rule below the traffic lights.</x:v>
      </x:c>
      <x:c r="I66" s="42" t="str">
        <x:v>A horizontal separator remains visible across the window below the titlebar controls.</x:v>
      </x:c>
      <x:c r="J66" s="42" t="str">
        <x:v>The native unified compact titlebar retained its default toolbar background separator.</x:v>
      </x:c>
      <x:c r="K66" s="42" t="str">
        <x:v>Sources/Dockit/ContentView.swift:74; .toolbarBackgroundVisibility(.hidden, for: .windowToolbar)</x:v>
      </x:c>
      <x:c r="L66" s="42" t="str">
        <x:v>Fixed</x:v>
      </x:c>
      <x:c r="M66" s="42" t="str">
        <x:v>TR-TITLEBAR-CONTINUOUS-SURFACE-GREEN-001</x:v>
      </x:c>
      <x:c r="N66" s="42" t="str">
        <x:v>EV-REFERENCE-CONTINUOUS-SURFACE-001, EV-TITLEBAR-CONTINUOUS-LIGHT-001, EV-TITLEBAR-CONTINUOUS-DARK-001, EV-TITLEBAR-CONTINUOUS-BUILD-001, EV-APP-HOSTED-POST-SEPARATOR-001</x:v>
      </x:c>
      <x:c r="O66" s="42" t="str">
        <x:v>root</x:v>
      </x:c>
      <x:c r="P66" s="52" t="n">
        <x:v>46269.94513888889</x:v>
      </x:c>
      <x:c r="Q66" s="52" t="str"/>
      <x:c r="R66" s="42" t="str">
        <x:v>Focused light and dark captures at default and minimum widths show no divider and preserve the full name, paired chevrons, actions, identity, and stacking. The post-modifier hosted suite also passed 40 concrete executions. Keep this Fixed until inactive-window, Reduced Transparency, Increased Contrast, keyboard, and VoiceOver checks pass.</x:v>
      </x:c>
    </x:row>
    <x:row r="67">
      <x:c r="A67" s="42" t="str">
        <x:v>DEF-067</x:v>
      </x:c>
      <x:c r="B67" s="42" t="str">
        <x:v>TR-MISSING-APPS-LIGHT-REVIEW-RED-001</x:v>
      </x:c>
      <x:c r="C67" s="42" t="str">
        <x:v>XFR-006, MEN-005, UX-003</x:v>
      </x:c>
      <x:c r="D67" s="42" t="str">
        <x:v>Visual</x:v>
      </x:c>
      <x:c r="E67" s="42" t="str">
        <x:v>P2</x:v>
      </x:c>
      <x:c r="F67" s="42" t="str">
        <x:v>The unavailable-app recovery review renders three misleading empty rows.</x:v>
      </x:c>
      <x:c r="G67" s="42" t="str">
        <x:v>Open the unavailable-app review for a profile containing one unavailable entry and inspect the content beneath that row.</x:v>
      </x:c>
      <x:c r="H67" s="42" t="str">
        <x:v>Only actual unavailable entries and their recovery actions appear.</x:v>
      </x:c>
      <x:c r="I67" s="42" t="str">
        <x:v>Three empty gray alternating stripes appear below the one populated row.</x:v>
      </x:c>
      <x:c r="J67" s="42" t="str">
        <x:v>The inset List retained alternating row backgrounds across empty list rows.</x:v>
      </x:c>
      <x:c r="K67" s="42" t="str">
        <x:v>Sources/Dockit/MissingAppsView.swift:47; .listStyle(.inset(alternatesRowBackgrounds: false))</x:v>
      </x:c>
      <x:c r="L67" s="42" t="str">
        <x:v>Fixed</x:v>
      </x:c>
      <x:c r="M67" s="42" t="str">
        <x:v>TR-MISSING-APPS-EMPTY-ROWS-GREEN-001</x:v>
      </x:c>
      <x:c r="N67" s="42" t="str">
        <x:v>EV-MISSING-APPS-LIGHT-EMPTY-ROWS-001, EV-MISSING-APPS-EMPTY-ROWS-GREEN-001, EV-MISSING-APPS-FITTED-GREEN-001</x:v>
      </x:c>
      <x:c r="O67" s="42" t="str">
        <x:v>root</x:v>
      </x:c>
      <x:c r="P67" s="52" t="n">
        <x:v>46269.96894675926</x:v>
      </x:c>
      <x:c r="Q67" s="52" t="str"/>
      <x:c r="R67" s="42" t="str">
        <x:v>The integrated light and dark recovery sheets show only meaningful rows at ideal and minimum sizes. Keep this Fixed until keyboard, VoiceOver, Increased Contrast, and Reduced Transparency checks pass.</x:v>
      </x:c>
    </x:row>
    <x:row r="68">
      <x:c r="A68" s="42" t="str">
        <x:v>DEF-068</x:v>
      </x:c>
      <x:c r="B68" s="42" t="str">
        <x:v>TR-REFERENCE-FRAMES-000006-000029-001</x:v>
      </x:c>
      <x:c r="C68" s="42" t="str">
        <x:v>PRF-023, MEN-005, UX-003, MOT-005</x:v>
      </x:c>
      <x:c r="D68" s="42" t="str">
        <x:v>Visual fidelity</x:v>
      </x:c>
      <x:c r="E68" s="42" t="str">
        <x:v>P2</x:v>
      </x:c>
      <x:c r="F68" s="42" t="str">
        <x:v>The profile picker has the opposite width relationship and different right alignment from the reference Edit Dock control.</x:v>
      </x:c>
      <x:c r="G68" s="42" t="str">
        <x:v>Compare the current active work editor with reference frames 7, 11, 15, 17, 19, 22, 24, and 26.</x:v>
      </x:c>
      <x:c r="H68" s="42" t="str">
        <x:v>The picker is wider than Edit Dock and shares its right edge, matching the repeated reference geometry.</x:v>
      </x:c>
      <x:c r="I68" s="42" t="str">
        <x:v>The picker is narrower than edit dock and extends farther toward the window edge.</x:v>
      </x:c>
      <x:c r="J68" s="42" t="str">
        <x:v>The editor body used 20 point horizontal padding while the native toolbar picker occupied a 16 point inset, leaving the picker about 4 pixels farther right than Edit Dock.</x:v>
      </x:c>
      <x:c r="K68" s="42" t="str">
        <x:v>Sources/Dockit/ProfileDetailView.swift; editor body horizontal padding changed from 20 to 16 points</x:v>
      </x:c>
      <x:c r="L68" s="42" t="str">
        <x:v>Fixed</x:v>
      </x:c>
      <x:c r="M68" s="42" t="str">
        <x:v>TR-NATIVE-PICKER-COMMON-INSET-RUNTIME-GREEN-001</x:v>
      </x:c>
      <x:c r="N68" s="42" t="str">
        <x:v>EV-REFERENCE-FRAMES-000006-000029-001, EV-PICKER-GEOMETRY-PROBE-RED-001, EV-PICKER-GEOMETRY-WRAPPER-PROBE-RED-001, EV-PICKER-NATIVE-BACKGROUND-PROBE-RED-001, EV-PICKER-HOSTED-SWIFTUI-PROBE-RED-001, EV-NATIVE-PICKER-CELL-HOSTED-GREEN-001, EV-NATIVE-PICKER-CELL-LIGHT-RED-001, EV-NATIVE-PICKER-BORDER-CELL-HOSTED-GREEN-001, EV-NATIVE-PICKER-BORDER-CELL-RUNTIME-RED-001, EV-NATIVE-PICKER-SHARED-GLASS-PARTIAL-001, EV-NATIVE-PICKER-FINAL-LAYOUT-HOSTED-GREEN-001, EV-NATIVE-PICKER-COMMON-INSET-HOSTED-GREEN-001, EV-NATIVE-PICKER-COMMON-INSET-RUNTIME-GREEN-001</x:v>
      </x:c>
      <x:c r="O68" s="42" t="str">
        <x:v>root</x:v>
      </x:c>
      <x:c r="P68" s="52" t="n">
        <x:v>46269.97190972222</x:v>
      </x:c>
      <x:c r="Q68" s="52" t="str"/>
      <x:c r="R68" s="42" t="str">
        <x:v>Root directly inspected light and dark captures at 620 and 520 pixel widths. Picker and Edit Dock now share right edges at x604 plus or minus 1 and x504 plus or minus 1, excluding shadows. Native glass, swatch, arrows, full labels, narrow Regular paint, and continuous chrome remain intact. Keep this Fixed until full reference parity, all picker interactions, accessibility appearances, VoiceOver, and complete regression gates pass.</x:v>
      </x:c>
    </x:row>
    <x:row r="69">
      <x:c r="A69" s="42" t="str">
        <x:v>DEF-069</x:v>
      </x:c>
      <x:c r="B69" s="42" t="str">
        <x:v>TR-MISSING-APPS-RESIZE-RED-001</x:v>
      </x:c>
      <x:c r="C69" s="42" t="str">
        <x:v>XFR-006, MEN-005, UX-003</x:v>
      </x:c>
      <x:c r="D69" s="42" t="str">
        <x:v>Interaction</x:v>
      </x:c>
      <x:c r="E69" s="42" t="str">
        <x:v>P2</x:v>
      </x:c>
      <x:c r="F69" s="42" t="str">
        <x:v>The approved resizable unavailable-app recovery sheet does not resize from its corner or right edge.</x:v>
      </x:c>
      <x:c r="G69" s="42" t="str">
        <x:v>Open the one-item unavailable-app recovery sheet at 540 by 420 pixels, then drag its bottom-right corner or right edge outward.</x:v>
      </x:c>
      <x:c r="H69" s="42" t="str">
        <x:v>The sheet grows and its content adapts to the new size.</x:v>
      </x:c>
      <x:c r="I69" s="42" t="str">
        <x:v>The sheet remains 540 by 420 pixels after both drag attempts.</x:v>
      </x:c>
      <x:c r="J69" s="42" t="str">
        <x:v>The sheet relied on automatic presentation sizing instead of explicitly adopting fitted sizing with both user-resizable axes.</x:v>
      </x:c>
      <x:c r="K69" s="42" t="str">
        <x:v>Sources/Dockit/MissingAppsView.swift:82; .presentationSizing(.fitted)</x:v>
      </x:c>
      <x:c r="L69" s="42" t="str">
        <x:v>Fixed</x:v>
      </x:c>
      <x:c r="M69" s="42" t="str">
        <x:v>TR-MISSING-APPS-FITTED-GREEN-001</x:v>
      </x:c>
      <x:c r="N69" s="42" t="str">
        <x:v>EV-MISSING-APPS-RESIZE-RED-001, EV-MISSING-APPS-FITTED-GREEN-001</x:v>
      </x:c>
      <x:c r="O69" s="42" t="str">
        <x:v>root</x:v>
      </x:c>
      <x:c r="P69" s="52" t="n">
        <x:v>46269.97331018518</x:v>
      </x:c>
      <x:c r="Q69" s="52" t="str"/>
      <x:c r="R69" s="42" t="str">
        <x:v>Native corner drag now resizes the sheet from 640 by 560 to 540 by 420 in light and dark appearance, with all text and actions reachable. Keep this Fixed until keyboard, VoiceOver, Increased Contrast, and Reduced Transparency checks pass.</x:v>
      </x:c>
    </x:row>
    <x:row r="70">
      <x:c r="A70" s="42" t="str">
        <x:v>DEF-070</x:v>
      </x:c>
      <x:c r="B70" s="42" t="str">
        <x:v>TR-CORE-NATIVE-RECOVERY-001</x:v>
      </x:c>
      <x:c r="C70" s="42" t="str">
        <x:v>MOT-005</x:v>
      </x:c>
      <x:c r="D70" s="42" t="str">
        <x:v>Build hygiene</x:v>
      </x:c>
      <x:c r="E70" s="42" t="str">
        <x:v>P3</x:v>
      </x:c>
      <x:c r="F70" s="42" t="str">
        <x:v>SwiftPM reports the two ReferenceVideo tool files as unhandled package files.</x:v>
      </x:c>
      <x:c r="G70" s="42" t="str">
        <x:v>Run the complete DockitCore suite and inspect the planning output before compilation.</x:v>
      </x:c>
      <x:c r="H70" s="42" t="str">
        <x:v>The package target explicitly excludes or owns every workspace file and emits no unhandled-file warning.</x:v>
      </x:c>
      <x:c r="I70" s="42" t="str">
        <x:v>SwiftPM warns about Tools/ReferenceVideo.mjs and Tools/ReferenceVideoTests.mjs before the passing test run.</x:v>
      </x:c>
      <x:c r="J70" s="42" t="str">
        <x:v>The DockProbe target exclusion list omitted the two ReferenceVideo JavaScript tools.</x:v>
      </x:c>
      <x:c r="K70" s="42" t="str">
        <x:v>Package.swift:17; exclude ReferenceVideo.mjs and ReferenceVideoTests.mjs from DockProbe</x:v>
      </x:c>
      <x:c r="L70" s="42" t="str">
        <x:v>Fixed</x:v>
      </x:c>
      <x:c r="M70" s="42" t="str">
        <x:v>TR-CORE-PACKAGE-EXCLUSION-GREEN-001</x:v>
      </x:c>
      <x:c r="N70" s="42" t="str">
        <x:v>EV-CORE-NATIVE-RECOVERY-001, EV-CORE-PACKAGE-EXCLUSION-GREEN-001</x:v>
      </x:c>
      <x:c r="O70" s="42" t="str">
        <x:v>root</x:v>
      </x:c>
      <x:c r="P70" s="52" t="n">
        <x:v>46269.97688657408</x:v>
      </x:c>
      <x:c r="Q70" s="52" t="str"/>
      <x:c r="R70" s="42" t="str">
        <x:v>The complete core retest passes 76 Swift Testing cases and 8 XCTest cases with no unhandled-file, warning, or error record. Keep this Fixed until the package configuration is covered by the next complete release regression.</x:v>
      </x:c>
    </x:row>
    <x:row r="71">
      <x:c r="A71" s="42" t="str">
        <x:v>DEF-071</x:v>
      </x:c>
      <x:c r="B71" s="42" t="str">
        <x:v>TR-REFERENCE-SPACER-INSERTION-AUDIT-001</x:v>
      </x:c>
      <x:c r="C71" s="42" t="str">
        <x:v>PRF-021, PRF-028, MEN-005, UX-003, MOT-005</x:v>
      </x:c>
      <x:c r="D71" s="42" t="str">
        <x:v>Visual fidelity</x:v>
      </x:c>
      <x:c r="E71" s="42" t="str">
        <x:v>P2</x:v>
      </x:c>
      <x:c r="F71" s="42" t="str">
        <x:v>The Regular spacer preview paint is square instead of the reference's tall narrow marker.</x:v>
      </x:c>
      <x:c r="G71" s="42" t="str">
        <x:v>Inspect original reference frames 500 through 540, confirm Regular is the sole highlighted command, then compare the established marker at frame 540 with dockit's Regular preview marker.</x:v>
      </x:c>
      <x:c r="H71" s="42" t="str">
        <x:v>Regular keeps its 40 point allocation and hit area but paints a narrow marker near 20 by 40 points with a centered vertical rule.</x:v>
      </x:c>
      <x:c r="I71" s="42" t="str">
        <x:v>The reviewed Regular marker paints at 40 by 40 points, while the reference Regular insertion paints at about half its own height.</x:v>
      </x:c>
      <x:c r="J71" s="42" t="str">
        <x:v>The preview coupled the Regular painted width to its full 40 point allocation instead of separating marker paint from slot and hit area.</x:v>
      </x:c>
      <x:c r="K71" s="42" t="str">
        <x:v>Sources/Dockit/ProfileDetailView.swift:736; 20 by 40 paint inside the unchanged 40 point Regular allocation</x:v>
      </x:c>
      <x:c r="L71" s="42" t="str">
        <x:v>Fixed</x:v>
      </x:c>
      <x:c r="M71" s="42" t="str">
        <x:v>TR-REGULAR-SPACER-PAINT-GREEN-001</x:v>
      </x:c>
      <x:c r="N71" s="42" t="str">
        <x:v>EV-REFERENCE-SPACER-INSERTION-AUDIT-001, EV-REGULAR-SPACER-PAINT-GREEN-001</x:v>
      </x:c>
      <x:c r="O71" s="42" t="str">
        <x:v>root</x:v>
      </x:c>
      <x:c r="P71" s="52" t="n">
        <x:v>46270.00114583333</x:v>
      </x:c>
      <x:c r="Q71" s="52" t="str"/>
      <x:c r="R71" s="42" t="str">
        <x:v>Direct light and dark inspection plus an independent pixel sample confirm Regular paint changed from 40 by 40 to 20 by 40 while its logical slot stays 40 points. Keep this Fixed until insertion, drag, keyboard, Small, persistence, and real Dock regression checks pass.</x:v>
      </x:c>
    </x:row>
    <x:row r="72">
      <x:c r="A72" s="42" t="str">
        <x:v>DEF-072</x:v>
      </x:c>
      <x:c r="B72" s="42" t="str">
        <x:v>TR-NATIVE-PICKER-ACTOR-COMPILE-RED-001</x:v>
      </x:c>
      <x:c r="C72" s="42" t="str">
        <x:v>PRF-023, MEN-002, MEN-005, UX-003</x:v>
      </x:c>
      <x:c r="D72" s="42" t="str">
        <x:v>Build</x:v>
      </x:c>
      <x:c r="E72" s="42" t="str">
        <x:v>P1</x:v>
      </x:c>
      <x:c r="F72" s="42" t="str">
        <x:v>The first native picker coordinator does not compile under Swift 6 main actor isolation.</x:v>
      </x:c>
      <x:c r="G72" s="42" t="str">
        <x:v>Build the initial NativeProfileToolbarPicker candidate through the DockitAppTests scheme.</x:v>
      </x:c>
      <x:c r="H72" s="42" t="str">
        <x:v>The coordinator reads and changes AppModel and AppKit control state on the main actor.</x:v>
      </x:c>
      <x:c r="I72" s="42" t="str">
        <x:v>Compiler errors report main actor-isolated model properties and AppKit state accessed from nonisolated coordinator methods.</x:v>
      </x:c>
      <x:c r="J72" s="42" t="str">
        <x:v>The coordinator type and its synchronous menu callbacks did not declare their main actor isolation.</x:v>
      </x:c>
      <x:c r="K72" s="42" t="str">
        <x:v>Sources/Dockit/NativeProfileToolbarPicker.swift; mark Coordinator @MainActor</x:v>
      </x:c>
      <x:c r="L72" s="42" t="str">
        <x:v>Fixed</x:v>
      </x:c>
      <x:c r="M72" s="42" t="str">
        <x:v>TR-NATIVE-PICKER-CELL-HOSTED-GREEN-001</x:v>
      </x:c>
      <x:c r="N72" s="42" t="str">
        <x:v>EV-NATIVE-PICKER-ACTOR-COMPILE-RED-001, EV-NATIVE-PICKER-CELL-HOSTED-GREEN-001</x:v>
      </x:c>
      <x:c r="O72" s="42" t="str">
        <x:v>root</x:v>
      </x:c>
      <x:c r="P72" s="52" t="n">
        <x:v>46270.00650462963</x:v>
      </x:c>
      <x:c r="Q72" s="52" t="str"/>
      <x:c r="R72" s="42" t="str">
        <x:v>The later hosted run compiles and passes all 44 concrete executions. Keep this Fixed until the final release build repeats the Swift 6 check.</x:v>
      </x:c>
    </x:row>
    <x:row r="73">
      <x:c r="A73" s="42" t="str">
        <x:v>DEF-073</x:v>
      </x:c>
      <x:c r="B73" s="42" t="str">
        <x:v>TR-NATIVE-PICKER-WRAP-MEASUREMENT-RED-001</x:v>
      </x:c>
      <x:c r="C73" s="42" t="str">
        <x:v>PRF-003, PRF-029, MEN-005, UX-001, UX-003</x:v>
      </x:c>
      <x:c r="D73" s="42" t="str">
        <x:v>Text layout</x:v>
      </x:c>
      <x:c r="E73" s="42" t="str">
        <x:v>P2</x:v>
      </x:c>
      <x:c r="F73" s="42" t="str">
        <x:v>The first native picker cell does not include wrapped title height in its measured size.</x:v>
      </x:c>
      <x:c r="G73" s="42" t="str">
        <x:v>Measure the picker with work and then with 32 wide CJK grapheme clusters under the hosted wrapping test.</x:v>
      </x:c>
      <x:c r="H73" s="42" t="str">
        <x:v>The wide title increases control height and remains fully readable without automatic truncation.</x:v>
      </x:c>
      <x:c r="I73" s="42" t="str">
        <x:v>Both titles measured 28 points high, so the strict wrapping assertion failed.</x:v>
      </x:c>
      <x:c r="J73" s="42" t="str">
        <x:v>The native cell measurement and title rectangle used the one-line intrinsic height instead of the wrapped title bounds.</x:v>
      </x:c>
      <x:c r="K73" s="42" t="str">
        <x:v>Sources/Dockit/NativeProfileToolbarPicker.swift; NativeWrappingPopUpButtonCell title rectangle and measured height</x:v>
      </x:c>
      <x:c r="L73" s="42" t="str">
        <x:v>Fixed</x:v>
      </x:c>
      <x:c r="M73" s="42" t="str">
        <x:v>TR-NATIVE-PICKER-CELL-LIGHT-RED-001</x:v>
      </x:c>
      <x:c r="N73" s="42" t="str">
        <x:v>EV-NATIVE-PICKER-WRAP-MEASUREMENT-RED-001, EV-NATIVE-PICKER-CELL-HOSTED-GREEN-001, EV-NATIVE-PICKER-CELL-LIGHT-RED-001</x:v>
      </x:c>
      <x:c r="O73" s="42" t="str">
        <x:v>root</x:v>
      </x:c>
      <x:c r="P73" s="52" t="n">
        <x:v>46270.008055555554</x:v>
      </x:c>
      <x:c r="Q73" s="52" t="str"/>
      <x:c r="R73" s="42" t="str">
        <x:v>The hosted size contract passes and the live 32-CJK capture wraps onto two lines without ellipsis. This remains a bounded picker result, not complete no-truncation verification across the app.</x:v>
      </x:c>
    </x:row>
    <x:row r="74">
      <x:c r="A74" s="42" t="str">
        <x:v>DEF-074</x:v>
      </x:c>
      <x:c r="B74" s="42" t="str">
        <x:v>TR-NATIVE-PICKER-BLANK-DISPLAY-RED-001</x:v>
      </x:c>
      <x:c r="C74" s="42" t="str">
        <x:v>PRF-003, PRF-004, PRF-023, MEN-005, UX-001, UX-003</x:v>
      </x:c>
      <x:c r="D74" s="42" t="str">
        <x:v>Visual</x:v>
      </x:c>
      <x:c r="E74" s="42" t="str">
        <x:v>P1</x:v>
      </x:c>
      <x:c r="F74" s="42" t="str">
        <x:v>The first native popup runtime shows arrows but no selected profile title or color swatch.</x:v>
      </x:c>
      <x:c r="G74" s="42" t="str">
        <x:v>Launch the first replacement-cell build with Work selected and inspect the focused toolbar picker.</x:v>
      </x:c>
      <x:c r="H74" s="42" t="str">
        <x:v>The selected title and semantic color swatch appear beside the native popup arrows.</x:v>
      </x:c>
      <x:c r="I74" s="42" t="str">
        <x:v>The title and swatch are blank, leaving only the arrows visible.</x:v>
      </x:c>
      <x:c r="J74" s="42" t="str">
        <x:v>After replacing the popup cell, the displayed title and image were not assigned to the cell's separate menuItem while usesItemFromMenu was false.</x:v>
      </x:c>
      <x:c r="K74" s="42" t="str">
        <x:v>Sources/Dockit/NativeProfileToolbarPicker.swift; keep a dedicated NSPopUpButtonCell.menuItem and update it with usesItemFromMenu false</x:v>
      </x:c>
      <x:c r="L74" s="42" t="str">
        <x:v>Fixed</x:v>
      </x:c>
      <x:c r="M74" s="42" t="str">
        <x:v>TR-NATIVE-PICKER-CELL-LIGHT-RED-001</x:v>
      </x:c>
      <x:c r="N74" s="42" t="str">
        <x:v>EV-NATIVE-PICKER-BLANK-DISPLAY-RED-001, EV-NATIVE-PICKER-CELL-LIGHT-RED-001</x:v>
      </x:c>
      <x:c r="O74" s="42" t="str">
        <x:v>root</x:v>
      </x:c>
      <x:c r="P74" s="52" t="n">
        <x:v>46270.01025462963</x:v>
      </x:c>
      <x:c r="Q74" s="52" t="str"/>
      <x:c r="R74" s="42" t="str">
        <x:v>Reading, Work, and the 32-CJK name now render their title, swatch, and native arrows. The separate missing-bezel and reference-geometry problem remains DEF-068.</x:v>
      </x:c>
    </x:row>
    <x:row r="75">
      <x:c r="A75" s="42" t="str">
        <x:v>DEF-075</x:v>
      </x:c>
      <x:c r="B75" s="42" t="str">
        <x:v>TR-PREVIEW-DISJOINT-BOUNDARY-MENU-MISMATCH-RED-001</x:v>
      </x:c>
      <x:c r="C75" s="42" t="str">
        <x:v>PRF-020, PRF-033, PRF-034, MEN-004</x:v>
      </x:c>
      <x:c r="D75" s="42" t="str">
        <x:v>Interaction</x:v>
      </x:c>
      <x:c r="E75" s="42" t="str">
        <x:v>P1</x:v>
      </x:c>
      <x:c r="F75" s="42" t="str">
        <x:v>Boundary item selection can disable a valid group movement action while its keyboard shortcut still moves the group.</x:v>
      </x:c>
      <x:c r="G75" s="42" t="str">
        <x:v>Select the first item and a later disjoint item that can move earlier, then inspect Move Selected Earlier in the Edit menu and invoke Command+Option+Left.</x:v>
      </x:c>
      <x:c r="H75" s="42" t="str">
        <x:v>Menu, detail actions, and keyboard shortcuts enable movement whenever the existing domain movement returns a changed layout.</x:v>
      </x:c>
      <x:c r="I75" s="42" t="str">
        <x:v>The menu reports the earlier action disabled because the first selected item is already at the boundary, while the same keyboard command correctly moves the later selected block.</x:v>
      </x:c>
      <x:c r="J75" s="42" t="str">
        <x:v>The earlier predicate checked only whether the first selected index exceeded zero, and the later predicate made the symmetric last-index check. Those shortcuts did not model independently movable blocks in a disjoint selection.</x:v>
      </x:c>
      <x:c r="K75" s="42" t="str">
        <x:v>Sources/Dockit/ProfileDetailView.swift; Tests/DockitCoreTests/DockItemEditingTests.swift; derive both action predicates from DockItemEditing.moving and compare with the current items</x:v>
      </x:c>
      <x:c r="L75" s="42" t="str">
        <x:v>Fixed</x:v>
      </x:c>
      <x:c r="M75" s="42" t="str">
        <x:v>TR-PREVIEW-BOUNDARY-ACTION-ENABLEMENT-GREEN-001</x:v>
      </x:c>
      <x:c r="N75" s="42" t="str">
        <x:v>EV-PREVIEW-DISJOINT-BOUNDARY-MENU-MISMATCH-RED-001, EV-PREVIEW-BOUNDARY-ACTION-ENABLEMENT-GREEN-001</x:v>
      </x:c>
      <x:c r="O75" s="42" t="str">
        <x:v>root</x:v>
      </x:c>
      <x:c r="P75" s="52" t="n">
        <x:v>46270.0403125</x:v>
      </x:c>
      <x:c r="Q75" s="52" t="str"/>
      <x:c r="R75" s="42" t="str">
        <x:v>The earlier and later disjoint boundary cases now enable and execute through native menu and detail actions, while adjacent start and all-selected no-op boundaries stay disabled. Direct source review, a passing build, 87 core checks, and the bounded light runtime matrix support Fixed status. Keep this Fixed until dark, pointer, motion, disk persistence, VoiceOver, and full regression checks pass.</x:v>
      </x:c>
    </x:row>
    <x:row r="76">
      <x:c r="A76" s="42" t="str">
        <x:v>DEF-076</x:v>
      </x:c>
      <x:c r="B76" s="42" t="str">
        <x:v>TR-PREVIEW-CONTINUOUS-REFLOW-SOURCE-RED-001</x:v>
      </x:c>
      <x:c r="C76" s="42" t="str">
        <x:v>PRF-020, PRF-028, PRF-034, MEN-005, MOT-005</x:v>
      </x:c>
      <x:c r="D76" s="42" t="str">
        <x:v>Motion and visual fidelity</x:v>
      </x:c>
      <x:c r="E76" s="42" t="str">
        <x:v>P2</x:v>
      </x:c>
      <x:c r="F76" s="42" t="str">
        <x:v>The preview does not show prospective insertion or neighbor reflow while a dragged item is held.</x:v>
      </x:c>
      <x:c r="G76" s="42" t="str">
        <x:v>Inspect reference frames 44 through 70 and trace the current preview rendering, isTargeted callback, and acceptDrop path.</x:v>
      </x:c>
      <x:c r="H76" s="42" t="str">
        <x:v>A valid held item or group creates a transient insertion position and neighboring items make room before drop, while the saved layout stays unchanged until acceptance.</x:v>
      </x:c>
      <x:c r="I76" s="42" t="str">
        <x:v>The saved profile.items array remains the only rendered order. Hover changes only the target outline, and neighboring items move only after acceptDrop commits the edit.</x:v>
      </x:c>
      <x:c r="J76" s="42" t="str">
        <x:v>Native drag adapter integrates presentation-only reflow and immutable accepted intent. Hosted session contracts pass. Desktop input attempts do not deliver callbacks, as with the earlier minimal native control. Group delivery, cancellation, reversals and motion remain unverified.</x:v>
      </x:c>
      <x:c r="K76" s="42" t="str">
        <x:v>Sources/Dockit/DockPreviewView.swift; artifacts/reference-editor/flat-feedback-motion-review.md</x:v>
      </x:c>
      <x:c r="L76" s="42" t="str">
        <x:v>Fixing</x:v>
      </x:c>
      <x:c r="M76" s="42" t="str">
        <x:v>TR-NATIVE-DRAG-FLAT-INCONCLUSIVE</x:v>
      </x:c>
      <x:c r="N76" s="42" t="str">
        <x:v>EV-PREVIEW-CONTINUOUS-REFLOW-SOURCE-RED-001, EV-NATIVE-DRAG-FLAT-INCONCLUSIVE</x:v>
      </x:c>
      <x:c r="O76" s="42" t="str">
        <x:v>root</x:v>
      </x:c>
      <x:c r="P76" s="52" t="n">
        <x:v>46270.04813657407</x:v>
      </x:c>
      <x:c r="Q76" s="52" t="str"/>
      <x:c r="R76" s="42" t="str">
        <x:v>Native drag adapter integrates presentation-only reflow and immutable accepted intent. Hosted session contracts pass. Desktop input attempts do not deliver callbacks, as with the earlier minimal native control. Group delivery, cancellation, reversals and motion remain unverified.</x:v>
      </x:c>
    </x:row>
    <x:row r="77">
      <x:c r="A77" s="42" t="str">
        <x:v>DEF-077</x:v>
      </x:c>
      <x:c r="B77" s="42" t="str">
        <x:v>TR-NATIVE-DRAG-DIAGNOSTIC-COMPILE-RED-001</x:v>
      </x:c>
      <x:c r="C77" s="42" t="str">
        <x:v>PRF-020, PRF-034, MOT-005</x:v>
      </x:c>
      <x:c r="D77" s="42" t="str">
        <x:v>Diagnostic tooling</x:v>
      </x:c>
      <x:c r="E77" s="42" t="str">
        <x:v>P3</x:v>
      </x:c>
      <x:c r="F77" s="42" t="str">
        <x:v>The temporary gated drag logger does not compile under Swift 6 autoclosure rules.</x:v>
      </x:c>
      <x:c r="G77" s="42" t="str">
        <x:v>Add the gated drag callback traces and build the debug app under Swift 6.</x:v>
      </x:c>
      <x:c r="H77" s="42" t="str">
        <x:v>Diagnostic logging compiles and remains gated without changing release behavior.</x:v>
      </x:c>
      <x:c r="I77" s="42" t="str">
        <x:v>Logger interpolation captures the non-escaping message autoclosure in an escaping context, so the debug build exits 65 before runtime.</x:v>
      </x:c>
      <x:c r="J77" s="42" t="str">
        <x:v>The logging helper invoked its non-escaping autoclosure directly inside Logger interpolation instead of evaluating it before that interpolation boundary.</x:v>
      </x:c>
      <x:c r="K77" s="42" t="str">
        <x:v>Sources/Dockit/ProfileDetailView.swift; evaluate the gated message into a local String before Logger interpolation</x:v>
      </x:c>
      <x:c r="L77" s="42" t="str">
        <x:v>Fixed</x:v>
      </x:c>
      <x:c r="M77" s="42" t="str">
        <x:v>TR-NATIVE-DRAG-DIAGNOSTIC-COMPILE-GREEN-001</x:v>
      </x:c>
      <x:c r="N77" s="42" t="str">
        <x:v>EV-NATIVE-DRAG-DIAGNOSTIC-COMPILE-RED-001, EV-NATIVE-DRAG-DIAGNOSTIC-COMPILE-GREEN-001, EV-BOUNDARY-DRAG-DIAGNOSTIC-CLEANUP-GREEN-001</x:v>
      </x:c>
      <x:c r="O77" s="42" t="str">
        <x:v>root</x:v>
      </x:c>
      <x:c r="P77" s="52" t="n">
        <x:v>46270.04813657407</x:v>
      </x:c>
      <x:c r="Q77" s="52" t="str"/>
      <x:c r="R77" s="42" t="str">
        <x:v>The debug logger compiled after evaluating its message before interpolation, enabled the bounded control experiment, and was then fully removed with all temporary probe code. Core and hosted post-cleanup suites pass. This Fixed diagnostic defect does not resolve pointer delivery or DEF-076 continuous reflow.</x:v>
      </x:c>
    </x:row>
    <x:row r="78">
      <x:c r="A78" s="42" t="str">
        <x:v>DEF-078</x:v>
      </x:c>
      <x:c r="B78" s="42" t="str">
        <x:v>TR-STALE-DROP-RED-001</x:v>
      </x:c>
      <x:c r="C78" s="42" t="str">
        <x:v>PRF-020, PRF-028, PRF-034</x:v>
      </x:c>
      <x:c r="D78" s="42" t="str">
        <x:v>Functional</x:v>
      </x:c>
      <x:c r="E78" s="42" t="str">
        <x:v>P1</x:v>
      </x:c>
      <x:c r="F78" s="42" t="str">
        <x:v>Queued drops can edit a newly selected profile or overwrite a changed source layout.</x:v>
      </x:c>
      <x:c r="G78" s="42" t="str">
        <x:v>Start a reorder, switch to a duplicate sharing item IDs before the queued model call, or change the source while a pending save drains.</x:v>
      </x:c>
      <x:c r="H78" s="42" t="str">
        <x:v>Validate source profile and exact ordered snapshot before and after suspension. Reject stale requests without saving.</x:v>
      </x:c>
      <x:c r="I78" s="42" t="str">
        <x:v>The old method reorders current selection and uses a profile captured before the save-drain suspension.</x:v>
      </x:c>
      <x:c r="J78" s="42" t="str">
        <x:v>The asynchronous reorder boundary lacked immutable source and layout context and did not refetch after suspension.</x:v>
      </x:c>
      <x:c r="K78" s="42" t="str">
        <x:v>Sources/Dockit/AppModel.swift: moveItems sourceProfileID and expectedItems validation; Tests/DockitAppTests/AppModelTests.swift</x:v>
      </x:c>
      <x:c r="L78" s="42" t="str">
        <x:v>Fixed</x:v>
      </x:c>
      <x:c r="M78" s="42" t="str">
        <x:v>TR-REFERENCE-EDITOR-HOSTED-001</x:v>
      </x:c>
      <x:c r="N78" s="42" t="str">
        <x:v>EV-REFERENCE-EDITOR-HOSTED-001</x:v>
      </x:c>
      <x:c r="O78" s="42" t="str">
        <x:v>root</x:v>
      </x:c>
      <x:c r="P78" s="52" t="n">
        <x:v>46270.38743877315</x:v>
      </x:c>
      <x:c r="Q78" s="52" t="str"/>
      <x:c r="R78" s="42" t="str">
        <x:v>Source profile and ordered layout are checked before and after save suspension. The model refetches the record after suspension. Root's integrated suite passes the stale-source, stale-layout and save-drain cases. Fixed, not Closed: live accepted, cancelled and stale pointer drops still require controlled UI evidence.</x:v>
      </x:c>
    </x:row>
    <x:row r="79">
      <x:c r="A79" s="42" t="str">
        <x:v>DEF-079</x:v>
      </x:c>
      <x:c r="B79" s="42" t="str">
        <x:v>TR-REFERENCE-EDITOR-STATIC-001</x:v>
      </x:c>
      <x:c r="C79" s="42" t="str">
        <x:v>MEN-005, PRF-004, UX-003</x:v>
      </x:c>
      <x:c r="D79" s="42" t="str">
        <x:v>Visual</x:v>
      </x:c>
      <x:c r="E79" s="42" t="str">
        <x:v>P2</x:v>
      </x:c>
      <x:c r="F79" s="42" t="str">
        <x:v>The profile picker lacks the reference's visible resting backing and its swatch is too small.</x:v>
      </x:c>
      <x:c r="G79" s="42" t="str">
        <x:v>Inspect the closed upper-right picker in the first integrated light capture against the normalized reference.</x:v>
      </x:c>
      <x:c r="H79" s="42" t="str">
        <x:v>A pale native rounded backing remains visible at rest and the inner swatch is about 14 points.</x:v>
      </x:c>
      <x:c r="I79" s="42" t="str">
        <x:v>The flexible-push bezel gives little visible backing and the swatch is about 10 points.</x:v>
      </x:c>
      <x:c r="J79" s="42" t="str">
        <x:v>The picker used a flexible-push bezel and reused the smaller menu swatch size.</x:v>
      </x:c>
      <x:c r="K79" s="42" t="str">
        <x:v>Sources/Dockit/NativeProfileToolbarPicker.swift; Sources/Dockit/ProfileColorStyle.swift; Tests/DockitAppTests/AppModelTests.swift</x:v>
      </x:c>
      <x:c r="L79" s="42" t="str">
        <x:v>Fixing</x:v>
      </x:c>
      <x:c r="M79" s="42" t="str"/>
      <x:c r="N79" s="42" t="str">
        <x:v>EV-REFERENCE-EDITOR-STATIC-001</x:v>
      </x:c>
      <x:c r="O79" s="42" t="str">
        <x:v>root</x:v>
      </x:c>
      <x:c r="P79" s="52" t="n">
        <x:v>46270.404052708334</x:v>
      </x:c>
      <x:c r="Q79" s="52" t="str"/>
      <x:c r="R79" s="42" t="str">
        <x:v>A native glass bezel with roundedRectangle border shape, persistent backing and dedicated 14-point swatch compiles. No fresh screenshot or runtime test yet.</x:v>
      </x:c>
    </x:row>
    <x:row r="80">
      <x:c r="A80" s="42" t="str">
        <x:v>DEF-080</x:v>
      </x:c>
      <x:c r="B80" s="42" t="str">
        <x:v>TR-REFERENCE-EDITOR-STATIC-001</x:v>
      </x:c>
      <x:c r="C80" s="42" t="str">
        <x:v>PRF-023, PRF-034, UX-003</x:v>
      </x:c>
      <x:c r="D80" s="42" t="str">
        <x:v>Visual and accessibility</x:v>
      </x:c>
      <x:c r="E80" s="42" t="str">
        <x:v>P2</x:v>
      </x:c>
      <x:c r="F80" s="42" t="str">
        <x:v>Keyboard focus forms a square around the rounded selected item.</x:v>
      </x:c>
      <x:c r="G80" s="42" t="str">
        <x:v>Inspect the selected Books item in the first fixed-editor light capture.</x:v>
      </x:c>
      <x:c r="H80" s="42" t="str">
        <x:v>One restrained selection treatment and a separate rounded native keyboard-focus indication.</x:v>
      </x:c>
      <x:c r="I80" s="42" t="str">
        <x:v>A square blue focus frame surrounds the inner rounded selection fill.</x:v>
      </x:c>
      <x:c r="J80" s="42" t="str">
        <x:v>The native focus shape used the button's rectangular content bounds.</x:v>
      </x:c>
      <x:c r="K80" s="42" t="str">
        <x:v>Sources/Dockit/ProfileDetailView.swift: contentShape focusEffect</x:v>
      </x:c>
      <x:c r="L80" s="42" t="str">
        <x:v>Fixing</x:v>
      </x:c>
      <x:c r="M80" s="42" t="str"/>
      <x:c r="N80" s="42" t="str">
        <x:v>EV-REFERENCE-EDITOR-STATIC-001</x:v>
      </x:c>
      <x:c r="O80" s="42" t="str">
        <x:v>root</x:v>
      </x:c>
      <x:c r="P80" s="52" t="n">
        <x:v>46270.40405271991</x:v>
      </x:c>
      <x:c r="Q80" s="52" t="str"/>
      <x:c r="R80" s="42" t="str">
        <x:v>A rounded focusEffect content shape compiles. Preserve native focus visibility; do not disable it to conceal the defect. Keyboard and Increased Contrast retest remain pending.</x:v>
      </x:c>
    </x:row>
    <x:row r="81">
      <x:c r="A81" s="42" t="str">
        <x:v>DEF-081</x:v>
      </x:c>
      <x:c r="B81" s="42" t="str">
        <x:v>TR-REFERENCE-EDITOR-STATIC-001</x:v>
      </x:c>
      <x:c r="C81" s="42" t="str">
        <x:v>PRF-023, UX-003</x:v>
      </x:c>
      <x:c r="D81" s="42" t="str">
        <x:v>Visual</x:v>
      </x:c>
      <x:c r="E81" s="42" t="str">
        <x:v>P2</x:v>
      </x:c>
      <x:c r="F81" s="42" t="str">
        <x:v>Header and preview sit too high and the action group is too wide.</x:v>
      </x:c>
      <x:c r="G81" s="42" t="str">
        <x:v>Normalize reference frame 1000 to 620-point window width and compare the first fixed-editor capture.</x:v>
      </x:c>
      <x:c r="H81" s="42" t="str">
        <x:v>Broad panel near y103, shelf near y136, and compact right-aligned action controls matching the reference proportions.</x:v>
      </x:c>
      <x:c r="I81" s="42" t="str">
        <x:v>Broad panel starts near y98 and shelf near y132. The first action begins near x375 instead of x410, with the edit menu substantially wider.</x:v>
      </x:c>
      <x:c r="J81" s="42" t="str">
        <x:v>Shiny glass controls are replaced by a common flat semantic controlColor backing. Actual light/dark captures show matching action surfaces. Increased Contrast still requires review.</x:v>
      </x:c>
      <x:c r="K81" s="42" t="str">
        <x:v>Sources/Dockit/ProfileDetailView.swift</x:v>
      </x:c>
      <x:c r="L81" s="42" t="str">
        <x:v>Fixed</x:v>
      </x:c>
      <x:c r="M81" s="42" t="str">
        <x:v>TR-FLAT-APPEARANCE-BOUNDED</x:v>
      </x:c>
      <x:c r="N81" s="42" t="str">
        <x:v>EV-REFERENCE-EDITOR-STATIC-001, EV-FLAT-APPEARANCE-BOUNDED</x:v>
      </x:c>
      <x:c r="O81" s="42" t="str">
        <x:v>root</x:v>
      </x:c>
      <x:c r="P81" s="52" t="n">
        <x:v>46270.404052743055</x:v>
      </x:c>
      <x:c r="Q81" s="52" t="str"/>
      <x:c r="R81" s="42" t="str">
        <x:v>Shiny glass controls are replaced by a common flat semantic controlColor backing. Actual light/dark captures show matching action surfaces. Increased Contrast still requires review.</x:v>
      </x:c>
    </x:row>
    <x:row r="82">
      <x:c r="A82" s="42" t="str">
        <x:v>DEF-082</x:v>
      </x:c>
      <x:c r="B82" s="42" t="str">
        <x:v>TR-REFERENCE-FEEDBACK-20260905</x:v>
      </x:c>
      <x:c r="C82" s="42" t="str">
        <x:v>UX-002, SET-004</x:v>
      </x:c>
      <x:c r="D82" s="42" t="str">
        <x:v>Visual and interaction</x:v>
      </x:c>
      <x:c r="E82" s="42" t="str">
        <x:v>P2</x:v>
      </x:c>
      <x:c r="F82" s="42" t="str">
        <x:v>App icon underfills the system icon footprint.</x:v>
      </x:c>
      <x:c r="G82" s="42" t="str">
        <x:v>Inspect the attached actual Dock icon.</x:v>
      </x:c>
      <x:c r="H82" s="42" t="str">
        <x:v>The approved white mascot base fills the standard app-icon body without a second surrounding plate.</x:v>
      </x:c>
      <x:c r="I82" s="42" t="str">
        <x:v>A smaller white rounded tile appears inside a larger dark rounded plate.</x:v>
      </x:c>
      <x:c r="J82" s="42" t="str">
        <x:v>Native icon body packaging caused nested visual padding. The approved master is unchanged; a native white body with 1.26 layer scale fills the shape. Finder and refreshed about render correctly; actual Dock retest remains open.</x:v>
      </x:c>
      <x:c r="K82" s="42" t="str">
        <x:v>Design/AppIcon.icon/icon.json; project.yml</x:v>
      </x:c>
      <x:c r="L82" s="42" t="str">
        <x:v>Open</x:v>
      </x:c>
      <x:c r="M82" s="42" t="str">
        <x:v>TR-FRESH-ICON-SYSTEM-MENU-BLOCK</x:v>
      </x:c>
      <x:c r="N82" s="42" t="str">
        <x:v>EV-REFERENCE-FEEDBACK-20260905, EV-NATIVE-ICON-BOUNDED, EV-LIVE-ICON-MENU-DESKTOP, EV-FRESH-ICON-SYSTEM-MENU-BLOCK</x:v>
      </x:c>
      <x:c r="O82" s="42" t="str">
        <x:v>root</x:v>
      </x:c>
      <x:c r="P82" s="52" t="n">
        <x:v>46270.43710682871</x:v>
      </x:c>
      <x:c r="Q82" s="52" t="str"/>
      <x:c r="R82" s="42" t="str">
        <x:v>Fresh isolated identity passes actual Dock rendering after both direct and Finder launch. The older identity still shows the inset image. Keep delivery verification open for the original installation. Do not change correct asset pixels to compensate for stale installed rendering.</x:v>
      </x:c>
    </x:row>
    <x:row r="83">
      <x:c r="A83" s="42" t="str">
        <x:v>DEF-083</x:v>
      </x:c>
      <x:c r="B83" s="42" t="str">
        <x:v>TR-REFERENCE-FEEDBACK-20260905</x:v>
      </x:c>
      <x:c r="C83" s="42" t="str">
        <x:v>PRF-004, UX-003</x:v>
      </x:c>
      <x:c r="D83" s="42" t="str">
        <x:v>Visual and interaction</x:v>
      </x:c>
      <x:c r="E83" s="42" t="str">
        <x:v>P2</x:v>
      </x:c>
      <x:c r="F83" s="42" t="str">
        <x:v>Profile badge underlay remains bright white in dark mode.</x:v>
      </x:c>
      <x:c r="G83" s="42" t="str">
        <x:v>Open the same profile in dark appearance.</x:v>
      </x:c>
      <x:c r="H83" s="42" t="str">
        <x:v>Identity underlay and color emphasis adapt to appearance while preserving profile identity.</x:v>
      </x:c>
      <x:c r="I83" s="42" t="str">
        <x:v>User reports bright white underlay; ProfileIdentityBadge hard-codes white opacity 0.8.</x:v>
      </x:c>
      <x:c r="J83" s="42" t="str">
        <x:v>Hard-coded bright underlay is replaced by appearance-aware opacity and hue-preserving dark palette. Actual dark editor is reviewed. Increased Contrast and every profile surface remain open.</x:v>
      </x:c>
      <x:c r="K83" s="42" t="str">
        <x:v>Sources/Dockit/ProfileColorStyle.swift</x:v>
      </x:c>
      <x:c r="L83" s="42" t="str">
        <x:v>Fixed</x:v>
      </x:c>
      <x:c r="M83" s="42" t="str">
        <x:v>TR-FLAT-APPEARANCE-BOUNDED</x:v>
      </x:c>
      <x:c r="N83" s="42" t="str">
        <x:v>EV-REFERENCE-FEEDBACK-20260905, EV-FLAT-APPEARANCE-BOUNDED</x:v>
      </x:c>
      <x:c r="O83" s="42" t="str">
        <x:v>root</x:v>
      </x:c>
      <x:c r="P83" s="52" t="n">
        <x:v>46270.43710686343</x:v>
      </x:c>
      <x:c r="Q83" s="52" t="str"/>
      <x:c r="R83" s="42" t="str">
        <x:v>Hard-coded bright underlay is replaced by appearance-aware opacity and hue-preserving dark palette. Actual dark editor is reviewed. Increased Contrast and every profile surface remain open.</x:v>
      </x:c>
    </x:row>
    <x:row r="84">
      <x:c r="A84" s="42" t="str">
        <x:v>DEF-084</x:v>
      </x:c>
      <x:c r="B84" s="42" t="str">
        <x:v>TR-REFERENCE-FEEDBACK-20260905</x:v>
      </x:c>
      <x:c r="C84" s="42" t="str">
        <x:v>UX-001, PRF-029, MEN-002</x:v>
      </x:c>
      <x:c r="D84" s="42" t="str">
        <x:v>Visual and interaction</x:v>
      </x:c>
      <x:c r="E84" s="42" t="str">
        <x:v>P2</x:v>
      </x:c>
      <x:c r="F84" s="42" t="str">
        <x:v>Current dock text overflows the toolbar profile picker.</x:v>
      </x:c>
      <x:c r="G84" s="42" t="str">
        <x:v>Select the profile named current dock and inspect the picker at its actual toolbar size.</x:v>
      </x:c>
      <x:c r="H84" s="42" t="str">
        <x:v>Full profile name and swatch fit beside the paired arrows without clipping.</x:v>
      </x:c>
      <x:c r="I84" s="42" t="str">
        <x:v>User reports overflow. Existing width test omits the real swatch and toolbar host.</x:v>
      </x:c>
      <x:c r="J84" s="42" t="str">
        <x:v>Picker measures actual attributed text, swatch and arrow chrome at bounded width. Six-point backing padding fixes the additional three-point inset failure. Hosted regression and actual current dock capture pass; larger-text and complete sheet sweep remain open.</x:v>
      </x:c>
      <x:c r="K84" s="42" t="str">
        <x:v>Sources/Dockit/NativeProfileToolbarPicker.swift; Sources/Dockit/ProfileDetailView.swift; Tests/DockitAppTests/NativeProfilePickerLayoutTests.swift</x:v>
      </x:c>
      <x:c r="L84" s="42" t="str">
        <x:v>Fixed</x:v>
      </x:c>
      <x:c r="M84" s="42" t="str">
        <x:v>TR-FLAT-FINAL-HOSTED</x:v>
      </x:c>
      <x:c r="N84" s="42" t="str">
        <x:v>EV-REFERENCE-FEEDBACK-20260905, EV-FLAT-FINAL-HOSTED</x:v>
      </x:c>
      <x:c r="O84" s="42" t="str">
        <x:v>root</x:v>
      </x:c>
      <x:c r="P84" s="52" t="n">
        <x:v>46270.43710689815</x:v>
      </x:c>
      <x:c r="Q84" s="52" t="str"/>
      <x:c r="R84" s="42" t="str">
        <x:v>Picker measures actual attributed text, swatch and arrow chrome at bounded width. Six-point backing padding fixes the additional three-point inset failure. Hosted regression and actual current dock capture pass; larger-text and complete sheet sweep remain open.</x:v>
      </x:c>
    </x:row>
    <x:row r="85">
      <x:c r="A85" s="42" t="str">
        <x:v>DEF-085</x:v>
      </x:c>
      <x:c r="B85" s="42" t="str">
        <x:v>TR-REFERENCE-FEEDBACK-20260905</x:v>
      </x:c>
      <x:c r="C85" s="42" t="str">
        <x:v>MOT-005, REL-003, PRF-032</x:v>
      </x:c>
      <x:c r="D85" s="42" t="str">
        <x:v>Motion</x:v>
      </x:c>
      <x:c r="E85" s="42" t="str">
        <x:v>P2</x:v>
      </x:c>
      <x:c r="F85" s="42" t="str">
        <x:v>Applying and saved-not-applied status transitions are abrupt.</x:v>
      </x:c>
      <x:c r="G85" s="42" t="str">
        <x:v>Activate then edit a saved profile while observing the identity status.</x:v>
      </x:c>
      <x:c r="H85" s="42" t="str">
        <x:v>Brief truthful state feedback changes smoothly without holding completion or delaying actions.</x:v>
      </x:c>
      <x:c r="I85" s="42" t="str">
        <x:v>User reports fast/snappy status replacement. No current matching recording is available.</x:v>
      </x:c>
      <x:c r="J85" s="42" t="str">
        <x:v>Dedicated feedback crossfade is implemented with no completion delay. Pending status fits a 32-W dark profile. Runtime applying, interruption, recovery and Reduce Motion recordings remain missing.</x:v>
      </x:c>
      <x:c r="K85" s="42" t="str">
        <x:v>Sources/Dockit/ProfileDetailView.swift; artifacts/reference-editor/flat-feedback-motion-review.md</x:v>
      </x:c>
      <x:c r="L85" s="42" t="str">
        <x:v>Fixing</x:v>
      </x:c>
      <x:c r="M85" s="42" t="str">
        <x:v>TR-NATIVE-DRAG-FLAT-INCONCLUSIVE</x:v>
      </x:c>
      <x:c r="N85" s="42" t="str">
        <x:v>EV-REFERENCE-FEEDBACK-20260905, EV-NATIVE-DRAG-FLAT-INCONCLUSIVE</x:v>
      </x:c>
      <x:c r="O85" s="42" t="str">
        <x:v>root</x:v>
      </x:c>
      <x:c r="P85" s="52" t="n">
        <x:v>46270.437106921294</x:v>
      </x:c>
      <x:c r="Q85" s="52" t="str"/>
      <x:c r="R85" s="42" t="str">
        <x:v>Dedicated feedback crossfade is implemented with no completion delay. Pending status fits a 32-W dark profile. Runtime applying, interruption, recovery and Reduce Motion recordings remain missing.</x:v>
      </x:c>
    </x:row>
    <x:row r="86">
      <x:c r="A86" s="42" t="str">
        <x:v>DEF-086</x:v>
      </x:c>
      <x:c r="B86" s="42" t="str">
        <x:v>TR-REFERENCE-FEEDBACK-20260905</x:v>
      </x:c>
      <x:c r="C86" s="42" t="str">
        <x:v>MEN-007, MEN-003</x:v>
      </x:c>
      <x:c r="D86" s="42" t="str">
        <x:v>Visual and interaction</x:v>
      </x:c>
      <x:c r="E86" s="42" t="str">
        <x:v>P2</x:v>
      </x:c>
      <x:c r="F86" s="42" t="str">
        <x:v>Expected menu bar icon is not visible in the user's current app.</x:v>
      </x:c>
      <x:c r="G86" s="42" t="str">
        <x:v>Inspect the running app and its menu-bar preference.</x:v>
      </x:c>
      <x:c r="H86" s="42" t="str">
        <x:v>Show the miniature Dock status item by default while respecting an explicit user opt-out.</x:v>
      </x:c>
      <x:c r="I86" s="42" t="str">
        <x:v>User reports the item is missing. Source asset and status item code exist.</x:v>
      </x:c>
      <x:c r="J86" s="42" t="str">
        <x:v>Isolated preference is on and source retains a configured item. Actual full menu-bar placement is not captured. Cause remains unknown; do not infer absence from a cropped app-window screenshot or overwrite user preference.</x:v>
      </x:c>
      <x:c r="K86" s="42" t="str">
        <x:v>Sources/Dockit/DockMenuCoordinator.swift; Sources/Dockit/AppModel.swift</x:v>
      </x:c>
      <x:c r="L86" s="42" t="str">
        <x:v>Open</x:v>
      </x:c>
      <x:c r="M86" s="42" t="str">
        <x:v>TR-FRESH-ICON-SYSTEM-MENU-BLOCK</x:v>
      </x:c>
      <x:c r="N86" s="42" t="str">
        <x:v>EV-REFERENCE-FEEDBACK-20260905, EV-MENUBAR-VISIBILITY-INCONCLUSIVE, EV-LIVE-ICON-MENU-DESKTOP, EV-FRESH-ICON-SYSTEM-MENU-BLOCK</x:v>
      </x:c>
      <x:c r="O86" s="42" t="str">
        <x:v>root</x:v>
      </x:c>
      <x:c r="P86" s="52" t="n">
        <x:v>46270.43710695602</x:v>
      </x:c>
      <x:c r="Q86" s="52" t="str"/>
      <x:c r="R86" s="42" t="str">
        <x:v>ControlCenter logs the fresh item's blocked host state at launch and after recreation, despite clientRequestsVisibility true. Item and image exist. Allowance identity remains unconfirmed. No system permission was changed. Actual visible menu and interaction still need verification.</x:v>
      </x:c>
    </x:row>
    <x:row r="87">
      <x:c r="A87" s="42" t="str">
        <x:v>DEF-087</x:v>
      </x:c>
      <x:c r="B87" s="42" t="str">
        <x:v>TR-REFERENCE-FEEDBACK-20260905</x:v>
      </x:c>
      <x:c r="C87" s="42" t="str">
        <x:v>MEN-007, UX-002</x:v>
      </x:c>
      <x:c r="D87" s="42" t="str">
        <x:v>Visual and interaction</x:v>
      </x:c>
      <x:c r="E87" s="42" t="str">
        <x:v>P2</x:v>
      </x:c>
      <x:c r="F87" s="42" t="str">
        <x:v>Miniature Dock template tiles are narrow rectangles rather than squircles.</x:v>
      </x:c>
      <x:c r="G87" s="42" t="str">
        <x:v>Inspect source 16 and18 point template assets.</x:v>
      </x:c>
      <x:c r="H87" s="42" t="str">
        <x:v>Three readable square continuous-round tiles sit inside the miniature Dock shelf.</x:v>
      </x:c>
      <x:c r="I87" s="42" t="str">
        <x:v>The 18-point asset uses 3 by4 rectangles with radius0.5; 16-point tiles are also rectangular.</x:v>
      </x:c>
      <x:c r="J87" s="42" t="str">
        <x:v>16 and 18 point artwork now uses three square rounded tiles. Both compiled template assets load in hosted tests. Actual menu-bar rendering, interaction and Increased Contrast remain unverified.</x:v>
      </x:c>
      <x:c r="K87" s="42" t="str">
        <x:v>Design/MenuBarIcon16.svg; Design/MenuBarIcon18.svg; Tests/DockitAppTests/MenuLifecycleTests.swift</x:v>
      </x:c>
      <x:c r="L87" s="42" t="str">
        <x:v>Fixed</x:v>
      </x:c>
      <x:c r="M87" s="42" t="str">
        <x:v>TR-MENUBAR-VISIBILITY-INCONCLUSIVE</x:v>
      </x:c>
      <x:c r="N87" s="42" t="str">
        <x:v>EV-REFERENCE-FEEDBACK-20260905, EV-MENUBAR-VISIBILITY-INCONCLUSIVE</x:v>
      </x:c>
      <x:c r="O87" s="42" t="str">
        <x:v>root</x:v>
      </x:c>
      <x:c r="P87" s="52" t="n">
        <x:v>46270.43710697917</x:v>
      </x:c>
      <x:c r="Q87" s="52" t="str"/>
      <x:c r="R87" s="42" t="str">
        <x:v>16 and 18 point artwork now uses three square rounded tiles. Both compiled template assets load in hosted tests. Actual menu-bar rendering, interaction and Increased Contrast remain unverified.</x:v>
      </x:c>
    </x:row>
    <x:row r="88">
      <x:c r="A88" s="42" t="str">
        <x:v>DEF-088</x:v>
      </x:c>
      <x:c r="B88" s="42" t="str">
        <x:v>TR-DARK-CONTROL-CONTRAST-RED</x:v>
      </x:c>
      <x:c r="C88" s="42" t="str">
        <x:v>UX-003, MEN-004, MEN-006, PRF-023</x:v>
      </x:c>
      <x:c r="D88" s="42" t="str">
        <x:v>Accessibility and visual</x:v>
      </x:c>
      <x:c r="E88" s="42" t="str">
        <x:v>P2</x:v>
      </x:c>
      <x:c r="F88" s="42" t="str">
        <x:v>Dark flat action backgrounds are too light for small white labels.</x:v>
      </x:c>
      <x:c r="G88" s="42" t="str">
        <x:v>Open the current flat editor in dark appearance and inspect use this dock and edit dock.</x:v>
      </x:c>
      <x:c r="H88" s="42" t="str">
        <x:v>At least 4.5:1 text contrast while retaining flat matching surfaces.</x:v>
      </x:c>
      <x:c r="I88" s="42" t="str">
        <x:v>Measured background sRGB0.63583344 permits less than2.6:1 even with pure white labels.</x:v>
      </x:c>
      <x:c r="J88" s="42" t="str">
        <x:v>The dark controlColor fill was too light. Dark appearance now uses semantic controlBackgroundColor; light keeps controlColor. Reduced Transparency uses an opaque single fill.</x:v>
      </x:c>
      <x:c r="K88" s="42" t="str">
        <x:v>Sources/Dockit/ProfileDetailView.swift: DockEditorControlSurface</x:v>
      </x:c>
      <x:c r="L88" s="42" t="str">
        <x:v>Fixed</x:v>
      </x:c>
      <x:c r="M88" s="42" t="str">
        <x:v>TR-DARK-CONTROL-CONTRAST-GREEN-STATUS-RED</x:v>
      </x:c>
      <x:c r="N88" s="42" t="str">
        <x:v>EV-DARK-CONTROL-CONTRAST-RED, EV-DARK-CONTROL-CONTRAST-GREEN-STATUS-RED</x:v>
      </x:c>
      <x:c r="O88" s="42" t="str">
        <x:v>root</x:v>
      </x:c>
      <x:c r="P88" s="52" t="n">
        <x:v>46270.502921666666</x:v>
      </x:c>
      <x:c r="Q88" s="52" t="str"/>
      <x:c r="R88" s="42" t="str">
        <x:v>Bounded active dark samples pass 9.30:1 for actions and 8.67:1 for picker. Full appearance sweep remains open.</x:v>
      </x:c>
    </x:row>
    <x:row r="89">
      <x:c r="A89" s="42" t="str">
        <x:v>DEF-089</x:v>
      </x:c>
      <x:c r="B89" s="42" t="str">
        <x:v>TR-MENU-LIFECYCLE-RETENTION-RED</x:v>
      </x:c>
      <x:c r="C89" s="42" t="str">
        <x:v>MEN-003, MEN-007</x:v>
      </x:c>
      <x:c r="D89" s="42" t="str">
        <x:v>Verification tooling</x:v>
      </x:c>
      <x:c r="E89" s="42" t="str">
        <x:v>P3</x:v>
      </x:c>
      <x:c r="F89" s="42" t="str">
        <x:v>Status-item test assumes immediate native deallocation after removal.</x:v>
      </x:c>
      <x:c r="G89" s="42" t="str">
        <x:v>Run statusItemIsRetainedReusedReleasedAndRecreated in the isolated hosted suite.</x:v>
      </x:c>
      <x:c r="H89" s="42" t="str">
        <x:v>Test the coordinator-owned lifecycle boundary without asserting undocumented native release timing.</x:v>
      </x:c>
      <x:c r="I89" s="42" t="str">
        <x:v>Three weak-nil assertions fail although the source clears its retained item and calls native removal.</x:v>
      </x:c>
      <x:c r="J89" s="42" t="str">
        <x:v>AppKit keeps NSSceneStatusItem alive beyond the local autorelease pool. Object lifetime is not a valid immediate removal oracle.</x:v>
      </x:c>
      <x:c r="K89" s="42" t="str">
        <x:v>Sources/Dockit/DockMenuCoordinator.swift; Tests/DockitAppTests/MenuLifecycleTests.swift</x:v>
      </x:c>
      <x:c r="L89" s="42" t="str">
        <x:v>Closed</x:v>
      </x:c>
      <x:c r="M89" s="42" t="str">
        <x:v>TR-MENU-LIFECYCLE-GREEN</x:v>
      </x:c>
      <x:c r="N89" s="42" t="str">
        <x:v>EV-MENU-LIFECYCLE-GREEN</x:v>
      </x:c>
      <x:c r="O89" s="42" t="str">
        <x:v>root</x:v>
      </x:c>
      <x:c r="P89" s="52" t="n">
        <x:v>46270.50515762732</x:v>
      </x:c>
      <x:c r="Q89" s="52" t="n">
        <x:v>46270.74877740741</x:v>
      </x:c>
      <x:c r="R89" s="42" t="str">
        <x:v>The test now observes exact public lifecycle calls and stable test-held identities. All 89 declared hosted tests pass. This closes the test-oracle defect, not the unresolved real menu-bar visibility report.</x:v>
      </x:c>
    </x:row>
    <x:row r="90">
      <x:c r="A90" s="42" t="str">
        <x:v>DEF-090</x:v>
      </x:c>
      <x:c r="B90" s="42" t="str">
        <x:v>TR-DARK-CONTROL-CONTRAST-GREEN-STATUS-RED</x:v>
      </x:c>
      <x:c r="C90" s="42" t="str">
        <x:v>UX-003, MEN-004, MEN-006, REL-003</x:v>
      </x:c>
      <x:c r="D90" s="42" t="str">
        <x:v>Accessibility and visual</x:v>
      </x:c>
      <x:c r="E90" s="42" t="str">
        <x:v>P2</x:v>
      </x:c>
      <x:c r="F90" s="42" t="str">
        <x:v>Small status text loses contrast in an active dark translucent window above bright content.</x:v>
      </x:c>
      <x:c r="G90" s="42" t="str">
        <x:v>Activate the dark editor above the bright Finder window. Inspect not active and item-count text.</x:v>
      </x:c>
      <x:c r="H90" s="42" t="str">
        <x:v>Small identity status text maintains at least 4.5:1 contrast without a fake blur or opaque decorative overlay.</x:v>
      </x:c>
      <x:c r="I90" s="42" t="str">
        <x:v>Background sRGB 0.544423 and brightest status text 0.987564 yield only 3.32:1. Inactive window is darker, which previously concealed this case.</x:v>
      </x:c>
      <x:c r="J90" s="42" t="str">
        <x:v>The regular native window material allows a bright active backing. Even near-white text cannot meet the target contrast at that lightness.</x:v>
      </x:c>
      <x:c r="K90" s="42" t="str">
        <x:v>Sources/Dockit/ProfileDetailView.swift:99; Sources/Dockit/ContentView.swift:76</x:v>
      </x:c>
      <x:c r="L90" s="42" t="str">
        <x:v>Fixed</x:v>
      </x:c>
      <x:c r="M90" s="42" t="str">
        <x:v>TR-STATUS-FOREGROUND-FINAL</x:v>
      </x:c>
      <x:c r="N90" s="42" t="str">
        <x:v>EV-DARK-CONTROL-CONTRAST-GREEN-STATUS-RED, EV-DARK-WINDOW-MATERIAL-PENDING, EV-STATUS-FOREGROUND-FINAL</x:v>
      </x:c>
      <x:c r="O90" s="42" t="str">
        <x:v>root</x:v>
      </x:c>
      <x:c r="P90" s="52" t="n">
        <x:v>46270.510477777774</x:v>
      </x:c>
      <x:c r="Q90" s="52" t="str"/>
      <x:c r="R90" s="42" t="str">
        <x:v>Primary status foreground passes focused light and dark samples, including the bright-backed dark window. Pending state fits after insertion. Keep Fixed rather than Closed until complete appearance and accessibility regression passes.</x:v>
      </x:c>
    </x:row>
    <x:row r="91">
      <x:c r="A91" s="42" t="str">
        <x:v>DEF-091</x:v>
      </x:c>
      <x:c r="B91" s="42" t="str">
        <x:v>TR-DETAILS-KEYBOARD-RED</x:v>
      </x:c>
      <x:c r="C91" s="42" t="str">
        <x:v>PRF-034, MEN-004, UX-003</x:v>
      </x:c>
      <x:c r="D91" s="42" t="str">
        <x:v>Keyboard accessibility</x:v>
      </x:c>
      <x:c r="E91" s="42" t="str">
        <x:v>P2</x:v>
      </x:c>
      <x:c r="F91" s="42" t="str">
        <x:v>Dock details advertises keyboard editing but its item rows do not receive focus.</x:v>
      </x:c>
      <x:c r="G91" s="42" t="str">
        <x:v>Open Reading details after selecting Books, expand keyboard help, select the Books row and press Left or command-option-Left.</x:v>
      </x:c>
      <x:c r="H91" s="42" t="str">
        <x:v>The selected row can receive keyboard focus and the documented commands act on it.</x:v>
      </x:c>
      <x:c r="I91" s="42" t="str">
        <x:v>The focused AX element remains the sheet. Selection and order do not respond to arrows or the move shortcut, while identical preview commands work.</x:v>
      </x:c>
      <x:c r="J91" s="42" t="str">
        <x:v>Details rows lacked explicit edit-style focus eligibility. The scrolling container also did not reveal focused rows after focus or ordered item IDs changed. The correction adds native focusability and targeted scrollTo calls for those two changes.</x:v>
      </x:c>
      <x:c r="K91" s="42" t="str">
        <x:v>Sources/Dockit/DockDetailsView.swift:32; Sources/Dockit/DockDetailsView.swift:92; Sources/Dockit/DockDetailsView.swift:143</x:v>
      </x:c>
      <x:c r="L91" s="42" t="str">
        <x:v>Fixed</x:v>
      </x:c>
      <x:c r="M91" s="42" t="str">
        <x:v>TR-DETAILS-KEYBOARD-FINAL</x:v>
      </x:c>
      <x:c r="N91" s="42" t="str">
        <x:v>EV-DETAILS-KEYBOARD-RED, EV-DETAILS-KEYBOARD-FINAL</x:v>
      </x:c>
      <x:c r="O91" s="42" t="str">
        <x:v>root</x:v>
      </x:c>
      <x:c r="P91" s="52" t="n">
        <x:v>46270.8842683912</x:v>
      </x:c>
      <x:c r="Q91" s="52" t="str"/>
      <x:c r="R91" s="42" t="str">
        <x:v>All reproduced keyboard and visibility failures pass on the same surface in final light and dark runs. Keep Fixed until the complete keyboard, VoiceOver and appearance regression sweep is done.</x:v>
      </x:c>
    </x:row>
    <x:row r="92">
      <x:c r="A92" s="42" t="str">
        <x:v>DEF-092</x:v>
      </x:c>
      <x:c r="B92" s="42" t="str">
        <x:v>TR-LIBRARY-PERMISSION-SAVE-RED</x:v>
      </x:c>
      <x:c r="C92" s="42" t="str">
        <x:v>PRV-001, PRF-027, REL-001</x:v>
      </x:c>
      <x:c r="D92" s="42" t="str">
        <x:v>Persistence and recovery</x:v>
      </x:c>
      <x:c r="E92" s="42" t="str">
        <x:v>P1</x:v>
      </x:c>
      <x:c r="F92" s="42" t="str">
        <x:v>A failed permission update reports save failure after replacing the stored library.</x:v>
      </x:c>
      <x:c r="G92" s="42" t="str">
        <x:v>Inject a FileManager that throws from setAttributes when saving a modified existing library.</x:v>
      </x:c>
      <x:c r="H92" s="42" t="str">
        <x:v>All required preparation succeeds before the existing saved profile data is replaced. A reported save failure retains the prior saved bytes.</x:v>
      </x:c>
      <x:c r="I92" s="42" t="str">
        <x:v>Data.write(.atomic) replaces the destination before setAttributes throws. The method returns unwritable while the destination contains the new candidate.</x:v>
      </x:c>
      <x:c r="J92" s="42" t="str">
        <x:v>The write commits before its final fallible permission operation. The save contract and its error message assume that every thrown error is pre-commit.</x:v>
      </x:c>
      <x:c r="K92" s="42" t="str">
        <x:v>Sources/DockitCore/DockLibraryStore.swift; Tests/DockitCoreTests/DockLibraryStoreFailureTests.swift; Tests/DockitAppTests/AppModelTests.swift</x:v>
      </x:c>
      <x:c r="L92" s="42" t="str">
        <x:v>Fixed</x:v>
      </x:c>
      <x:c r="M92" s="42" t="str">
        <x:v>TR-LIBRARY-ATOMIC-SAVE-HOSTED</x:v>
      </x:c>
      <x:c r="N92" s="42" t="str">
        <x:v>EV-LIBRARY-PERMISSION-SAVE-RED, EV-LIBRARY-ATOMIC-SAVE-FINAL, EV-LIBRARY-ATOMIC-SAVE-HOSTED</x:v>
      </x:c>
      <x:c r="O92" s="42" t="str">
        <x:v>root</x:v>
      </x:c>
      <x:c r="P92" s="52" t="n">
        <x:v>46270.89905158565</x:v>
      </x:c>
      <x:c r="Q92" s="52"/>
      <x:c r="R92" s="42" t="str">
        <x:v>Six store regressions, the full 93-test core sweep and the full 91-test hosted sweep pass. Live editing-buffer recovery remains separate. No power-loss durability or cross-process serialization claim.</x:v>
      </x:c>
    </x:row>
    <x:row r="93">
      <x:c r="A93" s="42" t="str">
        <x:v>DEF-093</x:v>
      </x:c>
      <x:c r="B93" s="42" t="str">
        <x:v>TR-POINTER-DRAG-READING-RED</x:v>
      </x:c>
      <x:c r="C93" s="42" t="str">
        <x:v>PRF-034</x:v>
      </x:c>
      <x:c r="D93" s="42" t="str">
        <x:v>Pointer interaction</x:v>
      </x:c>
      <x:c r="E93" s="42" t="str">
        <x:v>P1</x:v>
      </x:c>
      <x:c r="F93" s="42" t="str">
        <x:v>Live pointer drags in the two-item Reading fixture do not reorder the preview.</x:v>
      </x:c>
      <x:c r="G93" s="42" t="str">
        <x:v>Drag Books after Notes, then Notes before Books, using their visible artwork centers and target sides.</x:v>
      </x:c>
      <x:c r="H93" s="42" t="str">
        <x:v>Accepted pointer movement commits the corresponding saved item order.</x:v>
      </x:c>
      <x:c r="I93" s="42" t="str">
        <x:v>Both attempts retain Books then Notes. Keyboard focus changes without a recorded reorder.</x:v>
      </x:c>
      <x:c r="J93" s="42" t="str">
        <x:v>Existing SwiftUI source path failed to produce a usable pointer reorder in the reported app. Exact internal framework cause is unproven. Replaced the source and destination with a public native AppKit adapter while retaining domain validation.</x:v>
      </x:c>
      <x:c r="K93" s="42" t="str">
        <x:v>Sources/Dockit/DockPreviewView.swift; Tests/DockitAppTests/DockPreviewDragAdapterTests.swift</x:v>
      </x:c>
      <x:c r="L93" s="42" t="str">
        <x:v>Fixed</x:v>
      </x:c>
      <x:c r="M93" s="42"/>
      <x:c r="N93" s="42" t="str">
        <x:v>EV-POINTER-DRAG-READING-RED, EV-NATIVE-DRAG-LAYOUT-20260906</x:v>
      </x:c>
      <x:c r="O93" s="42" t="str">
        <x:v>root</x:v>
      </x:c>
      <x:c r="P93" s="52" t="n">
        <x:v>46270.92648101852</x:v>
      </x:c>
      <x:c r="Q93" s="52" t="str"/>
      <x:c r="R93" s="42" t="str">
        <x:v>Logged before changes. The existing model and keyboard tests do not establish native pointer behavior.</x:v>
      </x:c>
    </x:row>
    <x:row r="94">
      <x:c r="A94" s="42" t="str">
        <x:v>DEF-094</x:v>
      </x:c>
      <x:c r="B94" s="42" t="str">
        <x:v>TR-APPEARANCE-PICKER-STALE-RED</x:v>
      </x:c>
      <x:c r="C94" s="42" t="str">
        <x:v>MEN-006, UX-003</x:v>
      </x:c>
      <x:c r="D94" s="42" t="str">
        <x:v>Appearance adaptation</x:v>
      </x:c>
      <x:c r="E94" s="42" t="str">
        <x:v>P2</x:v>
      </x:c>
      <x:c r="F94" s="42" t="str">
        <x:v>closed profile picker retains its light swatch after an appearance change</x:v>
      </x:c>
      <x:c r="G94" s="42" t="str">
        <x:v>Host the real native picker representable and change app appearance from light to dark without replacing the root or changing its model.</x:v>
      </x:c>
      <x:c r="H94" s="42" t="str">
        <x:v>Displayed swatch changes to the dark palette automatically.</x:v>
      </x:c>
      <x:c r="I94" s="42" t="str">
        <x:v>Displayed green remains at the light palette; menus refresh correctly on open.</x:v>
      </x:c>
      <x:c r="J94" s="42" t="str">
        <x:v>The representable does not read colorScheme and rasterizes its displayed swatch only during unrelated updates.</x:v>
      </x:c>
      <x:c r="K94" s="42" t="str">
        <x:v>Sources/Dockit/NativeProfileToolbarPicker.swift; Sources/Dockit/ProfileColorStyle.swift; Tests/DockitAppTests/AppearanceAdaptationTests.swift; Tests/DockitAppTests/AppModelTests.swift</x:v>
      </x:c>
      <x:c r="L94" s="42" t="str">
        <x:v>Fixed</x:v>
      </x:c>
      <x:c r="M94" s="42" t="str">
        <x:v>TR-APPEARANCE-PICKER-FIXED</x:v>
      </x:c>
      <x:c r="N94" s="42" t="str">
        <x:v>EV-APPEARANCE-PICKER-STALE-RED, EV-APPEARANCE-PICKER-FIXED</x:v>
      </x:c>
      <x:c r="O94" s="42" t="str">
        <x:v>root</x:v>
      </x:c>
      <x:c r="P94" s="52" t="n">
        <x:v>46270.99541085648</x:v>
      </x:c>
      <x:c r="Q94" s="52" t="str"/>
      <x:c r="R94" s="42" t="str">
        <x:v>The red adapter test now passes light, dark and light with the same button and unchanged model. All 92 hosted tests pass. Explicit SwiftUI appearance dependency removes reliance on parent or model refresh. Existing menu refresh behavior is unchanged. poteto-mode's root-cause and evidence rules kept the fixture failure separate from the reproduced adapter failure. delegate separated the test file and independent source review from root's production fix and GUI checks. better-colors preserved the approved light and dark palette rather than changing color values to hide stale rendering. Fixed, not closed: live system-transition and full appearance matrix remain pending.</x:v>
      </x:c>
    </x:row>
    <x:row r="95">
      <x:c r="A95" s="42" t="str">
        <x:v>DEF-095</x:v>
      </x:c>
      <x:c r="B95" s="42" t="str">
        <x:v>TR-RETRY-STALE-ALERT-RED</x:v>
      </x:c>
      <x:c r="C95" s="42" t="str">
        <x:v>REL-001, PRF-027, XFR-006</x:v>
      </x:c>
      <x:c r="D95" s="42" t="str">
        <x:v>Recovery feedback</x:v>
      </x:c>
      <x:c r="E95" s="42" t="str">
        <x:v>P2</x:v>
      </x:c>
      <x:c r="F95" s="42" t="str">
        <x:v>A failed save retry queues an obsolete alert behind the recovery sheet.</x:v>
      </x:c>
      <x:c r="G95" s="42" t="str">
        <x:v>Retry a rejected save from the recovery sheet, permit writes, retry successfully, then close the sheet.</x:v>
      </x:c>
      <x:c r="H95" s="42" t="str">
        <x:v>Successful recovery returns to the pending saved editor without an old failure alert.</x:v>
      </x:c>
      <x:c r="I95" s="42" t="str">
        <x:v>The sheet says changes saved, but done reveals changes could not be saved from the previous failed retry.</x:v>
      </x:c>
      <x:c r="J95" s="42" t="str">
        <x:v>retrySave calls the global alert presenter on failure while its retry callers already show inline failure details. The pending alert survives a later successful retry.</x:v>
      </x:c>
      <x:c r="K95" s="42" t="str">
        <x:v>Sources/Dockit/AppModel.swift:1723; Tests/DockitAppTests/AppModelTests.swift:536; Tests/DockitAppTests/AppModelTests.swift:575</x:v>
      </x:c>
      <x:c r="L95" s="42" t="str">
        <x:v>Fixed</x:v>
      </x:c>
      <x:c r="M95" s="42"/>
      <x:c r="N95" s="42" t="str">
        <x:v>EV-RETRY-STALE-ALERT-RED, EV-RETRY-STALE-ALERT-AUTO-RED, EV-RETRY-STALE-ALERT-GREEN</x:v>
      </x:c>
      <x:c r="O95" s="42" t="str">
        <x:v>root</x:v>
      </x:c>
      <x:c r="P95" s="52" t="n">
        <x:v>46271.031935833336</x:v>
      </x:c>
      <x:c r="Q95" s="52" t="str"/>
      <x:c r="R95" s="42" t="str">
        <x:v>Both automated retry paths and the actual light recovery sequence pass. Retain Fixed pending broader recovery, appearance, accessibility and regression coverage.</x:v>
      </x:c>
    </x:row>
    <x:row r="96">
      <x:c r="A96" s="42" t="str">
        <x:v>DEF-096</x:v>
      </x:c>
      <x:c r="B96" s="42" t="str">
        <x:v>TR-FOCUS-REGISTRATION-RED-001</x:v>
      </x:c>
      <x:c r="C96" s="42" t="str">
        <x:v>FOC-001, FOC-002, REL-004</x:v>
      </x:c>
      <x:c r="D96" s="42" t="str">
        <x:v>Development installation</x:v>
      </x:c>
      <x:c r="E96" s="42" t="str">
        <x:v>P1</x:v>
      </x:c>
      <x:c r="F96" s="42" t="str">
        <x:v>The retained unsigned test build cannot load its Focus filter.</x:v>
      </x:c>
      <x:c r="G96" s="42" t="str">
        <x:v>Retain the CODE_SIGNING_ALLOWED=NO build as the only production registration, then open dockit's Focus filter form.</x:v>
      </x:c>
      <x:c r="H96" s="42" t="str">
        <x:v>The authoritative development app includes a registered signed sandboxed Focus extension.</x:v>
      </x:c>
      <x:c r="I96" s="42" t="str">
        <x:v>System Settings reports Could not load Focus Filter and disables Add.</x:v>
      </x:c>
      <x:c r="J96" s="42" t="str">
        <x:v>The initial retained build was unsigned and failed extension sandbox validation. A signed rebuild corrects that precondition, but System Settings still cannot resolve the extension bundle record. The remaining registration/loading cause is not established.</x:v>
      </x:c>
      <x:c r="K96" s="42" t="str">
        <x:v>artifacts/reference-editor/normalize-development-registration.sh; artifacts/reference-editor/authoritative-development-build.log</x:v>
      </x:c>
      <x:c r="L96" s="42" t="str">
        <x:v>Open</x:v>
      </x:c>
      <x:c r="M96" s="42"/>
      <x:c r="N96" s="42" t="str">
        <x:v>EV-FOCUS-REGISTRATION-RED-001, EV-FOCUS-REGISTRATION-RETEST-001</x:v>
      </x:c>
      <x:c r="O96" s="42" t="str">
        <x:v>root</x:v>
      </x:c>
      <x:c r="P96" s="52" t="n">
        <x:v>46271.11221625</x:v>
      </x:c>
      <x:c r="Q96" s="52" t="str"/>
      <x:c r="R96" s="42"/>
    </x:row>
    <x:row r="97">
      <x:c r="A97" s="42" t="str">
        <x:v>DEF-097</x:v>
      </x:c>
      <x:c r="B97" s="42" t="str">
        <x:v>TR-FINISHING-20260906</x:v>
      </x:c>
      <x:c r="C97" s="42" t="str">
        <x:v>XFR-006</x:v>
      </x:c>
      <x:c r="D97" s="42" t="str">
        <x:v>Visual</x:v>
      </x:c>
      <x:c r="E97" s="42" t="str">
        <x:v>P1</x:v>
      </x:c>
      <x:c r="F97" s="42" t="str">
        <x:v>Light missing-app primary action absent in rendered dialog</x:v>
      </x:c>
      <x:c r="G97" s="42" t="str">
        <x:v>Render MissingAppsView in light appearance with forced prominent button style.</x:v>
      </x:c>
      <x:c r="H97" s="42" t="str">
        <x:v>Skip and apply is visible and reachable.</x:v>
      </x:c>
      <x:c r="I97" s="42" t="str">
        <x:v>Other dialog text and controls render but primary action is absent.</x:v>
      </x:c>
      <x:c r="J97" s="42" t="str">
        <x:v>Explicit borderedProminent appearance reproduces the rendering issue; exact system internals unknown. Duplicate adaptive branches hypothesis failed and was reverted.</x:v>
      </x:c>
      <x:c r="K97" s="42" t="str">
        <x:v>Sources/Dockit/MissingAppsView.swift: use native default button appearance, keep keyboardShortcut and operation</x:v>
      </x:c>
      <x:c r="L97" s="42" t="str">
        <x:v>Fixed</x:v>
      </x:c>
      <x:c r="M97" s="42" t="str"/>
      <x:c r="N97" s="42" t="str">
        <x:v>EV-FINISHING-20260906</x:v>
      </x:c>
      <x:c r="O97" s="42" t="str">
        <x:v>root</x:v>
      </x:c>
      <x:c r="P97" s="52" t="n">
        <x:v>46271.303918287034</x:v>
      </x:c>
      <x:c r="Q97" s="52" t="str"/>
      <x:c r="R97" s="42" t="str"/>
    </x:row>
    <x:row r="98">
      <x:c r="A98" s="42" t="str">
        <x:v>DEF-098</x:v>
      </x:c>
      <x:c r="B98" s="42" t="str">
        <x:v>TR-INSTALLED-DEMO-20260906</x:v>
      </x:c>
      <x:c r="C98" s="42" t="str">
        <x:v>PRF-010, FIN-003</x:v>
      </x:c>
      <x:c r="D98" s="42" t="str">
        <x:v>Functional</x:v>
      </x:c>
      <x:c r="E98" s="42" t="str">
        <x:v>P0</x:v>
      </x:c>
      <x:c r="F98" s="42" t="str">
        <x:v>Installable preview silently simulates Dock application</x:v>
      </x:c>
      <x:c r="G98" s="42" t="str">
        <x:v>Install the finishing-final-preview DMG app into Applications and click use this dock.</x:v>
      </x:c>
      <x:c r="H98" s="42" t="str">
        <x:v>A usable installation applies and verifies the real Dock, or clearly identifies itself as a nonfunctional preview.</x:v>
      </x:c>
      <x:c r="I98" s="42" t="str">
        <x:v>UI changes to current with no real Dock change.</x:v>
      </x:c>
      <x:c r="J98" s="42" t="str">
        <x:v>The packaged installed app includes DOCKIT_DEMO=1 and DOCKIT_TEST_HOST=1. Demo activation bypasses persistence and DockActivationService.</x:v>
      </x:c>
      <x:c r="K98" s="42" t="str">
        <x:v>Replaced /Applications/dockit.app with real signed production identity; Tools/Release/validate-packaged-app.py rejects preview IDs and DOCKIT_ flags in usable packages</x:v>
      </x:c>
      <x:c r="L98" s="42" t="str">
        <x:v>Fixed</x:v>
      </x:c>
      <x:c r="M98" s="42"/>
      <x:c r="N98" s="42" t="str">
        <x:v>EV-INSTALLED-DEMO-20260906, EV-WORKING-COPY-20260906</x:v>
      </x:c>
      <x:c r="O98" s="42" t="str">
        <x:v>root</x:v>
      </x:c>
      <x:c r="P98" s="52" t="n">
        <x:v>46271.31617578704</x:v>
      </x:c>
      <x:c r="Q98" s="52" t="str"/>
      <x:c r="R98" s="42"/>
    </x:row>
    <x:row r="99">
      <x:c r="A99" s="42" t="str">
        <x:v>DEF-099</x:v>
      </x:c>
      <x:c r="B99" s="42" t="str">
        <x:v>TR-REAL-RESTORE-FAILURE-20260906</x:v>
      </x:c>
      <x:c r="C99" s="42" t="str">
        <x:v>PRF-010, REL-002</x:v>
      </x:c>
      <x:c r="D99" s="42" t="str">
        <x:v>Functional</x:v>
      </x:c>
      <x:c r="E99" s="42" t="str">
        <x:v>P0</x:v>
      </x:c>
      <x:c r="F99" s="42" t="str">
        <x:v>Normal Dock restoration reads previous fixture after reload</x:v>
      </x:c>
      <x:c r="G99" s="42" t="str">
        <x:v>Run controlled real-Dock apply/restore using current probe and three-item Notes/spacer/TextEdit fixture.</x:v>
      </x:c>
      <x:c r="H99" s="42" t="str">
        <x:v>Post-reload verification returns the restored original layout.</x:v>
      </x:c>
      <x:c r="I99" s="42" t="str">
        <x:v>Immediate write verification matches, then post-reload verification returns the previous fixture.</x:v>
      </x:c>
      <x:c r="J99" s="42" t="str">
        <x:v>Isolated audit and independent defaults export prove actual domain reversion between immediate write verification and post-restart verification. The writer and reliable prevention remain unproven. Neither launch-completion signal nor the tested existing alternatives fixed it.</x:v>
      </x:c>
      <x:c r="K99" s="42"/>
      <x:c r="L99" s="42" t="str">
        <x:v>Open</x:v>
      </x:c>
      <x:c r="M99" s="42"/>
      <x:c r="N99" s="42" t="str">
        <x:v>EV-REAL-RESTORE-FAILURE-20260906, EV-RELOAD-ALTERNATIVES-20260906</x:v>
      </x:c>
      <x:c r="O99" s="42" t="str">
        <x:v>root</x:v>
      </x:c>
      <x:c r="P99" s="52" t="n">
        <x:v>46271.33996873842</x:v>
      </x:c>
      <x:c r="Q99" s="52" t="str"/>
      <x:c r="R99" s="42"/>
    </x:row>
    <x:row r="100">
      <x:c r="A100" s="42" t="str">
        <x:v>DEF-100</x:v>
      </x:c>
      <x:c r="B100" s="42" t="str">
        <x:v>TR-CLEAN-DMG-FINISH-20260906</x:v>
      </x:c>
      <x:c r="C100" s="42" t="str">
        <x:v>FIN-003</x:v>
      </x:c>
      <x:c r="D100" s="42" t="str">
        <x:v>Visual</x:v>
      </x:c>
      <x:c r="E100" s="42" t="str">
        <x:v>P2</x:v>
      </x:c>
      <x:c r="F100" s="42" t="str">
        <x:v>Finder filenames remain visible in requested label-free installer</x:v>
      </x:c>
      <x:c r="G100" s="42" t="str">
        <x:v>Open the clean development image in Finder icon view.</x:v>
      </x:c>
      <x:c r="H100" s="42" t="str">
        <x:v>Only the draggable app and Applications icons appear below the arrow, without filename labels.</x:v>
      </x:c>
      <x:c r="I100" s="42" t="str">
        <x:v>Finder draws filenames. Zero text size does not hide them and breaks the custom background. Native labels also have poor contrast against the dark image.</x:v>
      </x:c>
      <x:c r="J100" s="42" t="str">
        <x:v>No working native filename-hiding method established for Finder icon view. Retain correct app and Applications names rather than rename files to invisible text.</x:v>
      </x:c>
      <x:c r="K100" s="42" t="str"/>
      <x:c r="L100" s="42" t="str">
        <x:v>Open</x:v>
      </x:c>
      <x:c r="M100" s="42" t="str"/>
      <x:c r="N100" s="42" t="str">
        <x:v>EV-CLEAN-DMG-FINISH-20260906</x:v>
      </x:c>
      <x:c r="O100" s="42" t="str">
        <x:v>root</x:v>
      </x:c>
      <x:c r="P100" s="52" t="n">
        <x:v>46271.79754828704</x:v>
      </x:c>
      <x:c r="Q100" s="52" t="str"/>
      <x:c r="R100" s="42" t="str"/>
    </x:row>
    <x:row r="101">
      <x:c r="A101" s="42"/>
      <x:c r="B101" s="42"/>
      <x:c r="C101" s="42"/>
      <x:c r="D101" s="42"/>
      <x:c r="E101" s="42"/>
      <x:c r="F101" s="42"/>
      <x:c r="G101" s="42"/>
      <x:c r="H101" s="42"/>
      <x:c r="I101" s="42"/>
      <x:c r="J101" s="42"/>
      <x:c r="K101" s="42"/>
      <x:c r="L101" s="42"/>
      <x:c r="M101" s="42"/>
      <x:c r="N101" s="42"/>
      <x:c r="O101" s="42"/>
      <x:c r="P101" s="42"/>
      <x:c r="Q101" s="42"/>
      <x:c r="R101" s="42"/>
    </x:row>
    <x:row r="102">
      <x:c r="A102" s="42"/>
      <x:c r="B102" s="42"/>
      <x:c r="C102" s="42"/>
      <x:c r="D102" s="42"/>
      <x:c r="E102" s="42"/>
      <x:c r="F102" s="42"/>
      <x:c r="G102" s="42"/>
      <x:c r="H102" s="42"/>
      <x:c r="I102" s="42"/>
      <x:c r="J102" s="42"/>
      <x:c r="K102" s="42"/>
      <x:c r="L102" s="42"/>
      <x:c r="M102" s="42"/>
      <x:c r="N102" s="42"/>
      <x:c r="O102" s="42"/>
      <x:c r="P102" s="42"/>
      <x:c r="Q102" s="42"/>
      <x:c r="R102" s="42"/>
    </x:row>
    <x:row r="103">
      <x:c r="A103" s="42"/>
      <x:c r="B103" s="42"/>
      <x:c r="C103" s="42"/>
      <x:c r="D103" s="42"/>
      <x:c r="E103" s="42"/>
      <x:c r="F103" s="42"/>
      <x:c r="G103" s="42"/>
      <x:c r="H103" s="42"/>
      <x:c r="I103" s="42"/>
      <x:c r="J103" s="42"/>
      <x:c r="K103" s="42"/>
      <x:c r="L103" s="42"/>
      <x:c r="M103" s="42"/>
      <x:c r="N103" s="42"/>
      <x:c r="O103" s="42"/>
      <x:c r="P103" s="42"/>
      <x:c r="Q103" s="42"/>
      <x:c r="R103" s="42"/>
    </x:row>
    <x:row r="104">
      <x:c r="A104" s="42"/>
      <x:c r="B104" s="42"/>
      <x:c r="C104" s="42"/>
      <x:c r="D104" s="42"/>
      <x:c r="E104" s="42"/>
      <x:c r="F104" s="42"/>
      <x:c r="G104" s="42"/>
      <x:c r="H104" s="42"/>
      <x:c r="I104" s="42"/>
      <x:c r="J104" s="42"/>
      <x:c r="K104" s="42"/>
      <x:c r="L104" s="42"/>
      <x:c r="M104" s="42"/>
      <x:c r="N104" s="42"/>
      <x:c r="O104" s="42"/>
      <x:c r="P104" s="42"/>
      <x:c r="Q104" s="42"/>
      <x:c r="R104" s="42"/>
    </x:row>
    <x:row r="105">
      <x:c r="A105" s="42"/>
      <x:c r="B105" s="42"/>
      <x:c r="C105" s="42"/>
      <x:c r="D105" s="42"/>
      <x:c r="E105" s="42"/>
      <x:c r="F105" s="42"/>
      <x:c r="G105" s="42"/>
      <x:c r="H105" s="42"/>
      <x:c r="I105" s="42"/>
      <x:c r="J105" s="42"/>
      <x:c r="K105" s="42"/>
      <x:c r="L105" s="42"/>
      <x:c r="M105" s="42"/>
      <x:c r="N105" s="42"/>
      <x:c r="O105" s="42"/>
      <x:c r="P105" s="42"/>
      <x:c r="Q105" s="42"/>
      <x:c r="R105" s="42"/>
    </x:row>
    <x:row r="106">
      <x:c r="A106" s="42"/>
      <x:c r="B106" s="42"/>
      <x:c r="C106" s="42"/>
      <x:c r="D106" s="42"/>
      <x:c r="E106" s="42"/>
      <x:c r="F106" s="42"/>
      <x:c r="G106" s="42"/>
      <x:c r="H106" s="42"/>
      <x:c r="I106" s="42"/>
      <x:c r="J106" s="42"/>
      <x:c r="K106" s="42"/>
      <x:c r="L106" s="42"/>
      <x:c r="M106" s="42"/>
      <x:c r="N106" s="42"/>
      <x:c r="O106" s="42"/>
      <x:c r="P106" s="42"/>
      <x:c r="Q106" s="42"/>
      <x:c r="R106" s="42"/>
    </x:row>
    <x:row r="107">
      <x:c r="A107" s="42"/>
      <x:c r="B107" s="42"/>
      <x:c r="C107" s="42"/>
      <x:c r="D107" s="42"/>
      <x:c r="E107" s="42"/>
      <x:c r="F107" s="42"/>
      <x:c r="G107" s="42"/>
      <x:c r="H107" s="42"/>
      <x:c r="I107" s="42"/>
      <x:c r="J107" s="42"/>
      <x:c r="K107" s="42"/>
      <x:c r="L107" s="42"/>
      <x:c r="M107" s="42"/>
      <x:c r="N107" s="42"/>
      <x:c r="O107" s="42"/>
      <x:c r="P107" s="42"/>
      <x:c r="Q107" s="42"/>
      <x:c r="R107" s="42"/>
    </x:row>
    <x:row r="108">
      <x:c r="A108" s="42"/>
      <x:c r="B108" s="42"/>
      <x:c r="C108" s="42"/>
      <x:c r="D108" s="42"/>
      <x:c r="E108" s="42"/>
      <x:c r="F108" s="42"/>
      <x:c r="G108" s="42"/>
      <x:c r="H108" s="42"/>
      <x:c r="I108" s="42"/>
      <x:c r="J108" s="42"/>
      <x:c r="K108" s="42"/>
      <x:c r="L108" s="42"/>
      <x:c r="M108" s="42"/>
      <x:c r="N108" s="42"/>
      <x:c r="O108" s="42"/>
      <x:c r="P108" s="42"/>
      <x:c r="Q108" s="42"/>
      <x:c r="R108" s="42"/>
    </x:row>
    <x:row r="109">
      <x:c r="A109" s="42"/>
      <x:c r="B109" s="42"/>
      <x:c r="C109" s="42"/>
      <x:c r="D109" s="42"/>
      <x:c r="E109" s="42"/>
      <x:c r="F109" s="42"/>
      <x:c r="G109" s="42"/>
      <x:c r="H109" s="42"/>
      <x:c r="I109" s="42"/>
      <x:c r="J109" s="42"/>
      <x:c r="K109" s="42"/>
      <x:c r="L109" s="42"/>
      <x:c r="M109" s="42"/>
      <x:c r="N109" s="42"/>
      <x:c r="O109" s="42"/>
      <x:c r="P109" s="42"/>
      <x:c r="Q109" s="42"/>
      <x:c r="R109" s="42"/>
    </x:row>
    <x:row r="110">
      <x:c r="A110" s="42"/>
      <x:c r="B110" s="42"/>
      <x:c r="C110" s="42"/>
      <x:c r="D110" s="42"/>
      <x:c r="E110" s="42"/>
      <x:c r="F110" s="42"/>
      <x:c r="G110" s="42"/>
      <x:c r="H110" s="42"/>
      <x:c r="I110" s="42"/>
      <x:c r="J110" s="42"/>
      <x:c r="K110" s="42"/>
      <x:c r="L110" s="42"/>
      <x:c r="M110" s="42"/>
      <x:c r="N110" s="42"/>
      <x:c r="O110" s="42"/>
      <x:c r="P110" s="42"/>
      <x:c r="Q110" s="42"/>
      <x:c r="R110" s="42"/>
    </x:row>
    <x:row r="111">
      <x:c r="A111" s="42"/>
      <x:c r="B111" s="42"/>
      <x:c r="C111" s="42"/>
      <x:c r="D111" s="42"/>
      <x:c r="E111" s="42"/>
      <x:c r="F111" s="42"/>
      <x:c r="G111" s="42"/>
      <x:c r="H111" s="42"/>
      <x:c r="I111" s="42"/>
      <x:c r="J111" s="42"/>
      <x:c r="K111" s="42"/>
      <x:c r="L111" s="42"/>
      <x:c r="M111" s="42"/>
      <x:c r="N111" s="42"/>
      <x:c r="O111" s="42"/>
      <x:c r="P111" s="42"/>
      <x:c r="Q111" s="42"/>
      <x:c r="R111" s="42"/>
    </x:row>
    <x:row r="112">
      <x:c r="A112" s="42"/>
      <x:c r="B112" s="42"/>
      <x:c r="C112" s="42"/>
      <x:c r="D112" s="42"/>
      <x:c r="E112" s="42"/>
      <x:c r="F112" s="42"/>
      <x:c r="G112" s="42"/>
      <x:c r="H112" s="42"/>
      <x:c r="I112" s="42"/>
      <x:c r="J112" s="42"/>
      <x:c r="K112" s="42"/>
      <x:c r="L112" s="42"/>
      <x:c r="M112" s="42"/>
      <x:c r="N112" s="42"/>
      <x:c r="O112" s="42"/>
      <x:c r="P112" s="42"/>
      <x:c r="Q112" s="42"/>
      <x:c r="R112" s="42"/>
    </x:row>
    <x:row r="113">
      <x:c r="A113" s="42"/>
      <x:c r="B113" s="42"/>
      <x:c r="C113" s="42"/>
      <x:c r="D113" s="42"/>
      <x:c r="E113" s="42"/>
      <x:c r="F113" s="42"/>
      <x:c r="G113" s="42"/>
      <x:c r="H113" s="42"/>
      <x:c r="I113" s="42"/>
      <x:c r="J113" s="42"/>
      <x:c r="K113" s="42"/>
      <x:c r="L113" s="42"/>
      <x:c r="M113" s="42"/>
      <x:c r="N113" s="42"/>
      <x:c r="O113" s="42"/>
      <x:c r="P113" s="42"/>
      <x:c r="Q113" s="42"/>
      <x:c r="R113" s="42"/>
    </x:row>
    <x:row r="114">
      <x:c r="A114" s="42"/>
      <x:c r="B114" s="42"/>
      <x:c r="C114" s="42"/>
      <x:c r="D114" s="42"/>
      <x:c r="E114" s="42"/>
      <x:c r="F114" s="42"/>
      <x:c r="G114" s="42"/>
      <x:c r="H114" s="42"/>
      <x:c r="I114" s="42"/>
      <x:c r="J114" s="42"/>
      <x:c r="K114" s="42"/>
      <x:c r="L114" s="42"/>
      <x:c r="M114" s="42"/>
      <x:c r="N114" s="42"/>
      <x:c r="O114" s="42"/>
      <x:c r="P114" s="42"/>
      <x:c r="Q114" s="42"/>
      <x:c r="R114" s="42"/>
    </x:row>
    <x:row r="115">
      <x:c r="A115" s="42"/>
      <x:c r="B115" s="42"/>
      <x:c r="C115" s="42"/>
      <x:c r="D115" s="42"/>
      <x:c r="E115" s="42"/>
      <x:c r="F115" s="42"/>
      <x:c r="G115" s="42"/>
      <x:c r="H115" s="42"/>
      <x:c r="I115" s="42"/>
      <x:c r="J115" s="42"/>
      <x:c r="K115" s="42"/>
      <x:c r="L115" s="42"/>
      <x:c r="M115" s="42"/>
      <x:c r="N115" s="42"/>
      <x:c r="O115" s="42"/>
      <x:c r="P115" s="42"/>
      <x:c r="Q115" s="42"/>
      <x:c r="R115" s="42"/>
    </x:row>
    <x:row r="116">
      <x:c r="A116" s="42"/>
      <x:c r="B116" s="42"/>
      <x:c r="C116" s="42"/>
      <x:c r="D116" s="42"/>
      <x:c r="E116" s="42"/>
      <x:c r="F116" s="42"/>
      <x:c r="G116" s="42"/>
      <x:c r="H116" s="42"/>
      <x:c r="I116" s="42"/>
      <x:c r="J116" s="42"/>
      <x:c r="K116" s="42"/>
      <x:c r="L116" s="42"/>
      <x:c r="M116" s="42"/>
      <x:c r="N116" s="42"/>
      <x:c r="O116" s="42"/>
      <x:c r="P116" s="42"/>
      <x:c r="Q116" s="42"/>
      <x:c r="R116" s="42"/>
    </x:row>
    <x:row r="117">
      <x:c r="A117" s="42"/>
      <x:c r="B117" s="42"/>
      <x:c r="C117" s="42"/>
      <x:c r="D117" s="42"/>
      <x:c r="E117" s="42"/>
      <x:c r="F117" s="42"/>
      <x:c r="G117" s="42"/>
      <x:c r="H117" s="42"/>
      <x:c r="I117" s="42"/>
      <x:c r="J117" s="42"/>
      <x:c r="K117" s="42"/>
      <x:c r="L117" s="42"/>
      <x:c r="M117" s="42"/>
      <x:c r="N117" s="42"/>
      <x:c r="O117" s="42"/>
      <x:c r="P117" s="42"/>
      <x:c r="Q117" s="42"/>
      <x:c r="R117" s="42"/>
    </x:row>
    <x:row r="118">
      <x:c r="A118" s="42"/>
      <x:c r="B118" s="42"/>
      <x:c r="C118" s="42"/>
      <x:c r="D118" s="42"/>
      <x:c r="E118" s="42"/>
      <x:c r="F118" s="42"/>
      <x:c r="G118" s="42"/>
      <x:c r="H118" s="42"/>
      <x:c r="I118" s="42"/>
      <x:c r="J118" s="42"/>
      <x:c r="K118" s="42"/>
      <x:c r="L118" s="42"/>
      <x:c r="M118" s="42"/>
      <x:c r="N118" s="42"/>
      <x:c r="O118" s="42"/>
      <x:c r="P118" s="42"/>
      <x:c r="Q118" s="42"/>
      <x:c r="R118" s="42"/>
    </x:row>
    <x:row r="119">
      <x:c r="A119" s="42"/>
      <x:c r="B119" s="42"/>
      <x:c r="C119" s="42"/>
      <x:c r="D119" s="42"/>
      <x:c r="E119" s="42"/>
      <x:c r="F119" s="42"/>
      <x:c r="G119" s="42"/>
      <x:c r="H119" s="42"/>
      <x:c r="I119" s="42"/>
      <x:c r="J119" s="42"/>
      <x:c r="K119" s="42"/>
      <x:c r="L119" s="42"/>
      <x:c r="M119" s="42"/>
      <x:c r="N119" s="42"/>
      <x:c r="O119" s="42"/>
      <x:c r="P119" s="42"/>
      <x:c r="Q119" s="42"/>
      <x:c r="R119" s="42"/>
    </x:row>
    <x:row r="120">
      <x:c r="A120" s="42"/>
      <x:c r="B120" s="42"/>
      <x:c r="C120" s="42"/>
      <x:c r="D120" s="42"/>
      <x:c r="E120" s="42"/>
      <x:c r="F120" s="42"/>
      <x:c r="G120" s="42"/>
      <x:c r="H120" s="42"/>
      <x:c r="I120" s="42"/>
      <x:c r="J120" s="42"/>
      <x:c r="K120" s="42"/>
      <x:c r="L120" s="42"/>
      <x:c r="M120" s="42"/>
      <x:c r="N120" s="42"/>
      <x:c r="O120" s="42"/>
      <x:c r="P120" s="42"/>
      <x:c r="Q120" s="42"/>
      <x:c r="R120" s="42"/>
    </x:row>
    <x:row r="121">
      <x:c r="A121" s="42"/>
      <x:c r="B121" s="42"/>
      <x:c r="C121" s="42"/>
      <x:c r="D121" s="42"/>
      <x:c r="E121" s="42"/>
      <x:c r="F121" s="42"/>
      <x:c r="G121" s="42"/>
      <x:c r="H121" s="42"/>
      <x:c r="I121" s="42"/>
      <x:c r="J121" s="42"/>
      <x:c r="K121" s="42"/>
      <x:c r="L121" s="42"/>
      <x:c r="M121" s="42"/>
      <x:c r="N121" s="42"/>
      <x:c r="O121" s="42"/>
      <x:c r="P121" s="42"/>
      <x:c r="Q121" s="42"/>
      <x:c r="R121" s="42"/>
    </x:row>
    <x:row r="122">
      <x:c r="A122" s="42"/>
      <x:c r="B122" s="42"/>
      <x:c r="C122" s="42"/>
      <x:c r="D122" s="42"/>
      <x:c r="E122" s="42"/>
      <x:c r="F122" s="42"/>
      <x:c r="G122" s="42"/>
      <x:c r="H122" s="42"/>
      <x:c r="I122" s="42"/>
      <x:c r="J122" s="42"/>
      <x:c r="K122" s="42"/>
      <x:c r="L122" s="42"/>
      <x:c r="M122" s="42"/>
      <x:c r="N122" s="42"/>
      <x:c r="O122" s="42"/>
      <x:c r="P122" s="42"/>
      <x:c r="Q122" s="42"/>
      <x:c r="R122" s="42"/>
    </x:row>
    <x:row r="123">
      <x:c r="A123" s="42"/>
      <x:c r="B123" s="42"/>
      <x:c r="C123" s="42"/>
      <x:c r="D123" s="42"/>
      <x:c r="E123" s="42"/>
      <x:c r="F123" s="42"/>
      <x:c r="G123" s="42"/>
      <x:c r="H123" s="42"/>
      <x:c r="I123" s="42"/>
      <x:c r="J123" s="42"/>
      <x:c r="K123" s="42"/>
      <x:c r="L123" s="42"/>
      <x:c r="M123" s="42"/>
      <x:c r="N123" s="42"/>
      <x:c r="O123" s="42"/>
      <x:c r="P123" s="42"/>
      <x:c r="Q123" s="42"/>
      <x:c r="R123" s="42"/>
    </x:row>
    <x:row r="124">
      <x:c r="A124" s="42"/>
      <x:c r="B124" s="42"/>
      <x:c r="C124" s="42"/>
      <x:c r="D124" s="42"/>
      <x:c r="E124" s="42"/>
      <x:c r="F124" s="42"/>
      <x:c r="G124" s="42"/>
      <x:c r="H124" s="42"/>
      <x:c r="I124" s="42"/>
      <x:c r="J124" s="42"/>
      <x:c r="K124" s="42"/>
      <x:c r="L124" s="42"/>
      <x:c r="M124" s="42"/>
      <x:c r="N124" s="42"/>
      <x:c r="O124" s="42"/>
      <x:c r="P124" s="42"/>
      <x:c r="Q124" s="42"/>
      <x:c r="R124" s="42"/>
    </x:row>
    <x:row r="125">
      <x:c r="A125" s="42"/>
      <x:c r="B125" s="42"/>
      <x:c r="C125" s="42"/>
      <x:c r="D125" s="42"/>
      <x:c r="E125" s="42"/>
      <x:c r="F125" s="42"/>
      <x:c r="G125" s="42"/>
      <x:c r="H125" s="42"/>
      <x:c r="I125" s="42"/>
      <x:c r="J125" s="42"/>
      <x:c r="K125" s="42"/>
      <x:c r="L125" s="42"/>
      <x:c r="M125" s="42"/>
      <x:c r="N125" s="42"/>
      <x:c r="O125" s="42"/>
      <x:c r="P125" s="42"/>
      <x:c r="Q125" s="42"/>
      <x:c r="R125" s="42"/>
    </x:row>
    <x:row r="126">
      <x:c r="A126" s="42"/>
      <x:c r="B126" s="42"/>
      <x:c r="C126" s="42"/>
      <x:c r="D126" s="42"/>
      <x:c r="E126" s="42"/>
      <x:c r="F126" s="42"/>
      <x:c r="G126" s="42"/>
      <x:c r="H126" s="42"/>
      <x:c r="I126" s="42"/>
      <x:c r="J126" s="42"/>
      <x:c r="K126" s="42"/>
      <x:c r="L126" s="42"/>
      <x:c r="M126" s="42"/>
      <x:c r="N126" s="42"/>
      <x:c r="O126" s="42"/>
      <x:c r="P126" s="42"/>
      <x:c r="Q126" s="42"/>
      <x:c r="R126" s="42"/>
    </x:row>
    <x:row r="127">
      <x:c r="A127" s="42"/>
      <x:c r="B127" s="42"/>
      <x:c r="C127" s="42"/>
      <x:c r="D127" s="42"/>
      <x:c r="E127" s="42"/>
      <x:c r="F127" s="42"/>
      <x:c r="G127" s="42"/>
      <x:c r="H127" s="42"/>
      <x:c r="I127" s="42"/>
      <x:c r="J127" s="42"/>
      <x:c r="K127" s="42"/>
      <x:c r="L127" s="42"/>
      <x:c r="M127" s="42"/>
      <x:c r="N127" s="42"/>
      <x:c r="O127" s="42"/>
      <x:c r="P127" s="42"/>
      <x:c r="Q127" s="42"/>
      <x:c r="R127" s="42"/>
    </x:row>
    <x:row r="128">
      <x:c r="A128" s="42"/>
      <x:c r="B128" s="42"/>
      <x:c r="C128" s="42"/>
      <x:c r="D128" s="42"/>
      <x:c r="E128" s="42"/>
      <x:c r="F128" s="42"/>
      <x:c r="G128" s="42"/>
      <x:c r="H128" s="42"/>
      <x:c r="I128" s="42"/>
      <x:c r="J128" s="42"/>
      <x:c r="K128" s="42"/>
      <x:c r="L128" s="42"/>
      <x:c r="M128" s="42"/>
      <x:c r="N128" s="42"/>
      <x:c r="O128" s="42"/>
      <x:c r="P128" s="42"/>
      <x:c r="Q128" s="42"/>
      <x:c r="R128" s="42"/>
    </x:row>
    <x:row r="129">
      <x:c r="A129" s="42"/>
      <x:c r="B129" s="42"/>
      <x:c r="C129" s="42"/>
      <x:c r="D129" s="42"/>
      <x:c r="E129" s="42"/>
      <x:c r="F129" s="42"/>
      <x:c r="G129" s="42"/>
      <x:c r="H129" s="42"/>
      <x:c r="I129" s="42"/>
      <x:c r="J129" s="42"/>
      <x:c r="K129" s="42"/>
      <x:c r="L129" s="42"/>
      <x:c r="M129" s="42"/>
      <x:c r="N129" s="42"/>
      <x:c r="O129" s="42"/>
      <x:c r="P129" s="42"/>
      <x:c r="Q129" s="42"/>
      <x:c r="R129" s="42"/>
    </x:row>
    <x:row r="130">
      <x:c r="A130" s="42"/>
      <x:c r="B130" s="42"/>
      <x:c r="C130" s="42"/>
      <x:c r="D130" s="42"/>
      <x:c r="E130" s="42"/>
      <x:c r="F130" s="42"/>
      <x:c r="G130" s="42"/>
      <x:c r="H130" s="42"/>
      <x:c r="I130" s="42"/>
      <x:c r="J130" s="42"/>
      <x:c r="K130" s="42"/>
      <x:c r="L130" s="42"/>
      <x:c r="M130" s="42"/>
      <x:c r="N130" s="42"/>
      <x:c r="O130" s="42"/>
      <x:c r="P130" s="42"/>
      <x:c r="Q130" s="42"/>
      <x:c r="R130" s="42"/>
    </x:row>
    <x:row r="131">
      <x:c r="A131" s="42"/>
      <x:c r="B131" s="42"/>
      <x:c r="C131" s="42"/>
      <x:c r="D131" s="42"/>
      <x:c r="E131" s="42"/>
      <x:c r="F131" s="42"/>
      <x:c r="G131" s="42"/>
      <x:c r="H131" s="42"/>
      <x:c r="I131" s="42"/>
      <x:c r="J131" s="42"/>
      <x:c r="K131" s="42"/>
      <x:c r="L131" s="42"/>
      <x:c r="M131" s="42"/>
      <x:c r="N131" s="42"/>
      <x:c r="O131" s="42"/>
      <x:c r="P131" s="42"/>
      <x:c r="Q131" s="42"/>
      <x:c r="R131" s="42"/>
    </x:row>
    <x:row r="132">
      <x:c r="A132" s="42"/>
      <x:c r="B132" s="42"/>
      <x:c r="C132" s="42"/>
      <x:c r="D132" s="42"/>
      <x:c r="E132" s="42"/>
      <x:c r="F132" s="42"/>
      <x:c r="G132" s="42"/>
      <x:c r="H132" s="42"/>
      <x:c r="I132" s="42"/>
      <x:c r="J132" s="42"/>
      <x:c r="K132" s="42"/>
      <x:c r="L132" s="42"/>
      <x:c r="M132" s="42"/>
      <x:c r="N132" s="42"/>
      <x:c r="O132" s="42"/>
      <x:c r="P132" s="42"/>
      <x:c r="Q132" s="42"/>
      <x:c r="R132" s="42"/>
    </x:row>
    <x:row r="133">
      <x:c r="A133" s="42"/>
      <x:c r="B133" s="42"/>
      <x:c r="C133" s="42"/>
      <x:c r="D133" s="42"/>
      <x:c r="E133" s="42"/>
      <x:c r="F133" s="42"/>
      <x:c r="G133" s="42"/>
      <x:c r="H133" s="42"/>
      <x:c r="I133" s="42"/>
      <x:c r="J133" s="42"/>
      <x:c r="K133" s="42"/>
      <x:c r="L133" s="42"/>
      <x:c r="M133" s="42"/>
      <x:c r="N133" s="42"/>
      <x:c r="O133" s="42"/>
      <x:c r="P133" s="42"/>
      <x:c r="Q133" s="42"/>
      <x:c r="R133" s="42"/>
    </x:row>
    <x:row r="134">
      <x:c r="A134" s="42"/>
      <x:c r="B134" s="42"/>
      <x:c r="C134" s="42"/>
      <x:c r="D134" s="42"/>
      <x:c r="E134" s="42"/>
      <x:c r="F134" s="42"/>
      <x:c r="G134" s="42"/>
      <x:c r="H134" s="42"/>
      <x:c r="I134" s="42"/>
      <x:c r="J134" s="42"/>
      <x:c r="K134" s="42"/>
      <x:c r="L134" s="42"/>
      <x:c r="M134" s="42"/>
      <x:c r="N134" s="42"/>
      <x:c r="O134" s="42"/>
      <x:c r="P134" s="42"/>
      <x:c r="Q134" s="42"/>
      <x:c r="R134" s="42"/>
    </x:row>
    <x:row r="135">
      <x:c r="A135" s="42"/>
      <x:c r="B135" s="42"/>
      <x:c r="C135" s="42"/>
      <x:c r="D135" s="42"/>
      <x:c r="E135" s="42"/>
      <x:c r="F135" s="42"/>
      <x:c r="G135" s="42"/>
      <x:c r="H135" s="42"/>
      <x:c r="I135" s="42"/>
      <x:c r="J135" s="42"/>
      <x:c r="K135" s="42"/>
      <x:c r="L135" s="42"/>
      <x:c r="M135" s="42"/>
      <x:c r="N135" s="42"/>
      <x:c r="O135" s="42"/>
      <x:c r="P135" s="42"/>
      <x:c r="Q135" s="42"/>
      <x:c r="R135" s="42"/>
    </x:row>
    <x:row r="136">
      <x:c r="A136" s="42"/>
      <x:c r="B136" s="42"/>
      <x:c r="C136" s="42"/>
      <x:c r="D136" s="42"/>
      <x:c r="E136" s="42"/>
      <x:c r="F136" s="42"/>
      <x:c r="G136" s="42"/>
      <x:c r="H136" s="42"/>
      <x:c r="I136" s="42"/>
      <x:c r="J136" s="42"/>
      <x:c r="K136" s="42"/>
      <x:c r="L136" s="42"/>
      <x:c r="M136" s="42"/>
      <x:c r="N136" s="42"/>
      <x:c r="O136" s="42"/>
      <x:c r="P136" s="42"/>
      <x:c r="Q136" s="42"/>
      <x:c r="R136" s="42"/>
    </x:row>
    <x:row r="137">
      <x:c r="A137" s="42"/>
      <x:c r="B137" s="42"/>
      <x:c r="C137" s="42"/>
      <x:c r="D137" s="42"/>
      <x:c r="E137" s="42"/>
      <x:c r="F137" s="42"/>
      <x:c r="G137" s="42"/>
      <x:c r="H137" s="42"/>
      <x:c r="I137" s="42"/>
      <x:c r="J137" s="42"/>
      <x:c r="K137" s="42"/>
      <x:c r="L137" s="42"/>
      <x:c r="M137" s="42"/>
      <x:c r="N137" s="42"/>
      <x:c r="O137" s="42"/>
      <x:c r="P137" s="42"/>
      <x:c r="Q137" s="42"/>
      <x:c r="R137" s="42"/>
    </x:row>
    <x:row r="138">
      <x:c r="A138" s="42"/>
      <x:c r="B138" s="42"/>
      <x:c r="C138" s="42"/>
      <x:c r="D138" s="42"/>
      <x:c r="E138" s="42"/>
      <x:c r="F138" s="42"/>
      <x:c r="G138" s="42"/>
      <x:c r="H138" s="42"/>
      <x:c r="I138" s="42"/>
      <x:c r="J138" s="42"/>
      <x:c r="K138" s="42"/>
      <x:c r="L138" s="42"/>
      <x:c r="M138" s="42"/>
      <x:c r="N138" s="42"/>
      <x:c r="O138" s="42"/>
      <x:c r="P138" s="42"/>
      <x:c r="Q138" s="42"/>
      <x:c r="R138" s="42"/>
    </x:row>
    <x:row r="139">
      <x:c r="A139" s="42"/>
      <x:c r="B139" s="42"/>
      <x:c r="C139" s="42"/>
      <x:c r="D139" s="42"/>
      <x:c r="E139" s="42"/>
      <x:c r="F139" s="42"/>
      <x:c r="G139" s="42"/>
      <x:c r="H139" s="42"/>
      <x:c r="I139" s="42"/>
      <x:c r="J139" s="42"/>
      <x:c r="K139" s="42"/>
      <x:c r="L139" s="42"/>
      <x:c r="M139" s="42"/>
      <x:c r="N139" s="42"/>
      <x:c r="O139" s="42"/>
      <x:c r="P139" s="42"/>
      <x:c r="Q139" s="42"/>
      <x:c r="R139" s="42"/>
    </x:row>
    <x:row r="140">
      <x:c r="A140" s="42"/>
      <x:c r="B140" s="42"/>
      <x:c r="C140" s="42"/>
      <x:c r="D140" s="42"/>
      <x:c r="E140" s="42"/>
      <x:c r="F140" s="42"/>
      <x:c r="G140" s="42"/>
      <x:c r="H140" s="42"/>
      <x:c r="I140" s="42"/>
      <x:c r="J140" s="42"/>
      <x:c r="K140" s="42"/>
      <x:c r="L140" s="42"/>
      <x:c r="M140" s="42"/>
      <x:c r="N140" s="42"/>
      <x:c r="O140" s="42"/>
      <x:c r="P140" s="42"/>
      <x:c r="Q140" s="42"/>
      <x:c r="R140" s="42"/>
    </x:row>
    <x:row r="141">
      <x:c r="A141" s="42"/>
      <x:c r="B141" s="42"/>
      <x:c r="C141" s="42"/>
      <x:c r="D141" s="42"/>
      <x:c r="E141" s="42"/>
      <x:c r="F141" s="42"/>
      <x:c r="G141" s="42"/>
      <x:c r="H141" s="42"/>
      <x:c r="I141" s="42"/>
      <x:c r="J141" s="42"/>
      <x:c r="K141" s="42"/>
      <x:c r="L141" s="42"/>
      <x:c r="M141" s="42"/>
      <x:c r="N141" s="42"/>
      <x:c r="O141" s="42"/>
      <x:c r="P141" s="42"/>
      <x:c r="Q141" s="42"/>
      <x:c r="R141" s="42"/>
    </x:row>
    <x:row r="142">
      <x:c r="A142" s="42"/>
      <x:c r="B142" s="42"/>
      <x:c r="C142" s="42"/>
      <x:c r="D142" s="42"/>
      <x:c r="E142" s="42"/>
      <x:c r="F142" s="42"/>
      <x:c r="G142" s="42"/>
      <x:c r="H142" s="42"/>
      <x:c r="I142" s="42"/>
      <x:c r="J142" s="42"/>
      <x:c r="K142" s="42"/>
      <x:c r="L142" s="42"/>
      <x:c r="M142" s="42"/>
      <x:c r="N142" s="42"/>
      <x:c r="O142" s="42"/>
      <x:c r="P142" s="42"/>
      <x:c r="Q142" s="42"/>
      <x:c r="R142" s="42"/>
    </x:row>
    <x:row r="143">
      <x:c r="A143" s="42"/>
      <x:c r="B143" s="42"/>
      <x:c r="C143" s="42"/>
      <x:c r="D143" s="42"/>
      <x:c r="E143" s="42"/>
      <x:c r="F143" s="42"/>
      <x:c r="G143" s="42"/>
      <x:c r="H143" s="42"/>
      <x:c r="I143" s="42"/>
      <x:c r="J143" s="42"/>
      <x:c r="K143" s="42"/>
      <x:c r="L143" s="42"/>
      <x:c r="M143" s="42"/>
      <x:c r="N143" s="42"/>
      <x:c r="O143" s="42"/>
      <x:c r="P143" s="42"/>
      <x:c r="Q143" s="42"/>
      <x:c r="R143" s="42"/>
    </x:row>
    <x:row r="144">
      <x:c r="A144" s="42"/>
      <x:c r="B144" s="42"/>
      <x:c r="C144" s="42"/>
      <x:c r="D144" s="42"/>
      <x:c r="E144" s="42"/>
      <x:c r="F144" s="42"/>
      <x:c r="G144" s="42"/>
      <x:c r="H144" s="42"/>
      <x:c r="I144" s="42"/>
      <x:c r="J144" s="42"/>
      <x:c r="K144" s="42"/>
      <x:c r="L144" s="42"/>
      <x:c r="M144" s="42"/>
      <x:c r="N144" s="42"/>
      <x:c r="O144" s="42"/>
      <x:c r="P144" s="42"/>
      <x:c r="Q144" s="42"/>
      <x:c r="R144" s="42"/>
    </x:row>
    <x:row r="145">
      <x:c r="A145" s="42"/>
      <x:c r="B145" s="42"/>
      <x:c r="C145" s="42"/>
      <x:c r="D145" s="42"/>
      <x:c r="E145" s="42"/>
      <x:c r="F145" s="42"/>
      <x:c r="G145" s="42"/>
      <x:c r="H145" s="42"/>
      <x:c r="I145" s="42"/>
      <x:c r="J145" s="42"/>
      <x:c r="K145" s="42"/>
      <x:c r="L145" s="42"/>
      <x:c r="M145" s="42"/>
      <x:c r="N145" s="42"/>
      <x:c r="O145" s="42"/>
      <x:c r="P145" s="42"/>
      <x:c r="Q145" s="42"/>
      <x:c r="R145" s="42"/>
    </x:row>
    <x:row r="146">
      <x:c r="A146" s="42"/>
      <x:c r="B146" s="42"/>
      <x:c r="C146" s="42"/>
      <x:c r="D146" s="42"/>
      <x:c r="E146" s="42"/>
      <x:c r="F146" s="42"/>
      <x:c r="G146" s="42"/>
      <x:c r="H146" s="42"/>
      <x:c r="I146" s="42"/>
      <x:c r="J146" s="42"/>
      <x:c r="K146" s="42"/>
      <x:c r="L146" s="42"/>
      <x:c r="M146" s="42"/>
      <x:c r="N146" s="42"/>
      <x:c r="O146" s="42"/>
      <x:c r="P146" s="42"/>
      <x:c r="Q146" s="42"/>
      <x:c r="R146" s="42"/>
    </x:row>
    <x:row r="147">
      <x:c r="A147" s="42"/>
      <x:c r="B147" s="42"/>
      <x:c r="C147" s="42"/>
      <x:c r="D147" s="42"/>
      <x:c r="E147" s="42"/>
      <x:c r="F147" s="42"/>
      <x:c r="G147" s="42"/>
      <x:c r="H147" s="42"/>
      <x:c r="I147" s="42"/>
      <x:c r="J147" s="42"/>
      <x:c r="K147" s="42"/>
      <x:c r="L147" s="42"/>
      <x:c r="M147" s="42"/>
      <x:c r="N147" s="42"/>
      <x:c r="O147" s="42"/>
      <x:c r="P147" s="42"/>
      <x:c r="Q147" s="42"/>
      <x:c r="R147" s="42"/>
    </x:row>
    <x:row r="148">
      <x:c r="A148" s="42"/>
      <x:c r="B148" s="42"/>
      <x:c r="C148" s="42"/>
      <x:c r="D148" s="42"/>
      <x:c r="E148" s="42"/>
      <x:c r="F148" s="42"/>
      <x:c r="G148" s="42"/>
      <x:c r="H148" s="42"/>
      <x:c r="I148" s="42"/>
      <x:c r="J148" s="42"/>
      <x:c r="K148" s="42"/>
      <x:c r="L148" s="42"/>
      <x:c r="M148" s="42"/>
      <x:c r="N148" s="42"/>
      <x:c r="O148" s="42"/>
      <x:c r="P148" s="42"/>
      <x:c r="Q148" s="42"/>
      <x:c r="R148" s="42"/>
    </x:row>
    <x:row r="149">
      <x:c r="A149" s="42"/>
      <x:c r="B149" s="42"/>
      <x:c r="C149" s="42"/>
      <x:c r="D149" s="42"/>
      <x:c r="E149" s="42"/>
      <x:c r="F149" s="42"/>
      <x:c r="G149" s="42"/>
      <x:c r="H149" s="42"/>
      <x:c r="I149" s="42"/>
      <x:c r="J149" s="42"/>
      <x:c r="K149" s="42"/>
      <x:c r="L149" s="42"/>
      <x:c r="M149" s="42"/>
      <x:c r="N149" s="42"/>
      <x:c r="O149" s="42"/>
      <x:c r="P149" s="42"/>
      <x:c r="Q149" s="42"/>
      <x:c r="R149" s="42"/>
    </x:row>
    <x:row r="150">
      <x:c r="A150" s="42"/>
      <x:c r="B150" s="42"/>
      <x:c r="C150" s="42"/>
      <x:c r="D150" s="42"/>
      <x:c r="E150" s="42"/>
      <x:c r="F150" s="42"/>
      <x:c r="G150" s="42"/>
      <x:c r="H150" s="42"/>
      <x:c r="I150" s="42"/>
      <x:c r="J150" s="42"/>
      <x:c r="K150" s="42"/>
      <x:c r="L150" s="42"/>
      <x:c r="M150" s="42"/>
      <x:c r="N150" s="42"/>
      <x:c r="O150" s="42"/>
      <x:c r="P150" s="42"/>
      <x:c r="Q150" s="42"/>
      <x:c r="R150" s="42"/>
    </x:row>
    <x:row r="151">
      <x:c r="A151" s="42"/>
      <x:c r="B151" s="42"/>
      <x:c r="C151" s="42"/>
      <x:c r="D151" s="42"/>
      <x:c r="E151" s="42"/>
      <x:c r="F151" s="42"/>
      <x:c r="G151" s="42"/>
      <x:c r="H151" s="42"/>
      <x:c r="I151" s="42"/>
      <x:c r="J151" s="42"/>
      <x:c r="K151" s="42"/>
      <x:c r="L151" s="42"/>
      <x:c r="M151" s="42"/>
      <x:c r="N151" s="42"/>
      <x:c r="O151" s="42"/>
      <x:c r="P151" s="42"/>
      <x:c r="Q151" s="42"/>
      <x:c r="R151" s="42"/>
    </x:row>
    <x:row r="152">
      <x:c r="A152" s="42"/>
      <x:c r="B152" s="42"/>
      <x:c r="C152" s="42"/>
      <x:c r="D152" s="42"/>
      <x:c r="E152" s="42"/>
      <x:c r="F152" s="42"/>
      <x:c r="G152" s="42"/>
      <x:c r="H152" s="42"/>
      <x:c r="I152" s="42"/>
      <x:c r="J152" s="42"/>
      <x:c r="K152" s="42"/>
      <x:c r="L152" s="42"/>
      <x:c r="M152" s="42"/>
      <x:c r="N152" s="42"/>
      <x:c r="O152" s="42"/>
      <x:c r="P152" s="42"/>
      <x:c r="Q152" s="42"/>
      <x:c r="R152" s="42"/>
    </x:row>
    <x:row r="153">
      <x:c r="A153" s="42"/>
      <x:c r="B153" s="42"/>
      <x:c r="C153" s="42"/>
      <x:c r="D153" s="42"/>
      <x:c r="E153" s="42"/>
      <x:c r="F153" s="42"/>
      <x:c r="G153" s="42"/>
      <x:c r="H153" s="42"/>
      <x:c r="I153" s="42"/>
      <x:c r="J153" s="42"/>
      <x:c r="K153" s="42"/>
      <x:c r="L153" s="42"/>
      <x:c r="M153" s="42"/>
      <x:c r="N153" s="42"/>
      <x:c r="O153" s="42"/>
      <x:c r="P153" s="42"/>
      <x:c r="Q153" s="42"/>
      <x:c r="R153" s="42"/>
    </x:row>
    <x:row r="154">
      <x:c r="A154" s="42"/>
      <x:c r="B154" s="42"/>
      <x:c r="C154" s="42"/>
      <x:c r="D154" s="42"/>
      <x:c r="E154" s="42"/>
      <x:c r="F154" s="42"/>
      <x:c r="G154" s="42"/>
      <x:c r="H154" s="42"/>
      <x:c r="I154" s="42"/>
      <x:c r="J154" s="42"/>
      <x:c r="K154" s="42"/>
      <x:c r="L154" s="42"/>
      <x:c r="M154" s="42"/>
      <x:c r="N154" s="42"/>
      <x:c r="O154" s="42"/>
      <x:c r="P154" s="42"/>
      <x:c r="Q154" s="42"/>
      <x:c r="R154" s="42"/>
    </x:row>
    <x:row r="155">
      <x:c r="A155" s="42"/>
      <x:c r="B155" s="42"/>
      <x:c r="C155" s="42"/>
      <x:c r="D155" s="42"/>
      <x:c r="E155" s="42"/>
      <x:c r="F155" s="42"/>
      <x:c r="G155" s="42"/>
      <x:c r="H155" s="42"/>
      <x:c r="I155" s="42"/>
      <x:c r="J155" s="42"/>
      <x:c r="K155" s="42"/>
      <x:c r="L155" s="42"/>
      <x:c r="M155" s="42"/>
      <x:c r="N155" s="42"/>
      <x:c r="O155" s="42"/>
      <x:c r="P155" s="42"/>
      <x:c r="Q155" s="42"/>
      <x:c r="R155" s="42"/>
    </x:row>
    <x:row r="156">
      <x:c r="A156" s="42"/>
      <x:c r="B156" s="42"/>
      <x:c r="C156" s="42"/>
      <x:c r="D156" s="42"/>
      <x:c r="E156" s="42"/>
      <x:c r="F156" s="42"/>
      <x:c r="G156" s="42"/>
      <x:c r="H156" s="42"/>
      <x:c r="I156" s="42"/>
      <x:c r="J156" s="42"/>
      <x:c r="K156" s="42"/>
      <x:c r="L156" s="42"/>
      <x:c r="M156" s="42"/>
      <x:c r="N156" s="42"/>
      <x:c r="O156" s="42"/>
      <x:c r="P156" s="42"/>
      <x:c r="Q156" s="42"/>
      <x:c r="R156" s="42"/>
    </x:row>
    <x:row r="157">
      <x:c r="A157" s="42"/>
      <x:c r="B157" s="42"/>
      <x:c r="C157" s="42"/>
      <x:c r="D157" s="42"/>
      <x:c r="E157" s="42"/>
      <x:c r="F157" s="42"/>
      <x:c r="G157" s="42"/>
      <x:c r="H157" s="42"/>
      <x:c r="I157" s="42"/>
      <x:c r="J157" s="42"/>
      <x:c r="K157" s="42"/>
      <x:c r="L157" s="42"/>
      <x:c r="M157" s="42"/>
      <x:c r="N157" s="42"/>
      <x:c r="O157" s="42"/>
      <x:c r="P157" s="42"/>
      <x:c r="Q157" s="42"/>
      <x:c r="R157" s="42"/>
    </x:row>
    <x:row r="158">
      <x:c r="A158" s="42"/>
      <x:c r="B158" s="42"/>
      <x:c r="C158" s="42"/>
      <x:c r="D158" s="42"/>
      <x:c r="E158" s="42"/>
      <x:c r="F158" s="42"/>
      <x:c r="G158" s="42"/>
      <x:c r="H158" s="42"/>
      <x:c r="I158" s="42"/>
      <x:c r="J158" s="42"/>
      <x:c r="K158" s="42"/>
      <x:c r="L158" s="42"/>
      <x:c r="M158" s="42"/>
      <x:c r="N158" s="42"/>
      <x:c r="O158" s="42"/>
      <x:c r="P158" s="42"/>
      <x:c r="Q158" s="42"/>
      <x:c r="R158" s="42"/>
    </x:row>
    <x:row r="159">
      <x:c r="A159" s="42"/>
      <x:c r="B159" s="42"/>
      <x:c r="C159" s="42"/>
      <x:c r="D159" s="42"/>
      <x:c r="E159" s="42"/>
      <x:c r="F159" s="42"/>
      <x:c r="G159" s="42"/>
      <x:c r="H159" s="42"/>
      <x:c r="I159" s="42"/>
      <x:c r="J159" s="42"/>
      <x:c r="K159" s="42"/>
      <x:c r="L159" s="42"/>
      <x:c r="M159" s="42"/>
      <x:c r="N159" s="42"/>
      <x:c r="O159" s="42"/>
      <x:c r="P159" s="42"/>
      <x:c r="Q159" s="42"/>
      <x:c r="R159" s="42"/>
    </x:row>
    <x:row r="160">
      <x:c r="A160" s="42"/>
      <x:c r="B160" s="42"/>
      <x:c r="C160" s="42"/>
      <x:c r="D160" s="42"/>
      <x:c r="E160" s="42"/>
      <x:c r="F160" s="42"/>
      <x:c r="G160" s="42"/>
      <x:c r="H160" s="42"/>
      <x:c r="I160" s="42"/>
      <x:c r="J160" s="42"/>
      <x:c r="K160" s="42"/>
      <x:c r="L160" s="42"/>
      <x:c r="M160" s="42"/>
      <x:c r="N160" s="42"/>
      <x:c r="O160" s="42"/>
      <x:c r="P160" s="42"/>
      <x:c r="Q160" s="42"/>
      <x:c r="R160" s="42"/>
    </x:row>
    <x:row r="161">
      <x:c r="A161" s="42"/>
      <x:c r="B161" s="42"/>
      <x:c r="C161" s="42"/>
      <x:c r="D161" s="42"/>
      <x:c r="E161" s="42"/>
      <x:c r="F161" s="42"/>
      <x:c r="G161" s="42"/>
      <x:c r="H161" s="42"/>
      <x:c r="I161" s="42"/>
      <x:c r="J161" s="42"/>
      <x:c r="K161" s="42"/>
      <x:c r="L161" s="42"/>
      <x:c r="M161" s="42"/>
      <x:c r="N161" s="42"/>
      <x:c r="O161" s="42"/>
      <x:c r="P161" s="42"/>
      <x:c r="Q161" s="42"/>
      <x:c r="R161" s="42"/>
    </x:row>
    <x:row r="162">
      <x:c r="A162" s="42"/>
      <x:c r="B162" s="42"/>
      <x:c r="C162" s="42"/>
      <x:c r="D162" s="42"/>
      <x:c r="E162" s="42"/>
      <x:c r="F162" s="42"/>
      <x:c r="G162" s="42"/>
      <x:c r="H162" s="42"/>
      <x:c r="I162" s="42"/>
      <x:c r="J162" s="42"/>
      <x:c r="K162" s="42"/>
      <x:c r="L162" s="42"/>
      <x:c r="M162" s="42"/>
      <x:c r="N162" s="42"/>
      <x:c r="O162" s="42"/>
      <x:c r="P162" s="42"/>
      <x:c r="Q162" s="42"/>
      <x:c r="R162" s="42"/>
    </x:row>
    <x:row r="163">
      <x:c r="A163" s="42"/>
      <x:c r="B163" s="42"/>
      <x:c r="C163" s="42"/>
      <x:c r="D163" s="42"/>
      <x:c r="E163" s="42"/>
      <x:c r="F163" s="42"/>
      <x:c r="G163" s="42"/>
      <x:c r="H163" s="42"/>
      <x:c r="I163" s="42"/>
      <x:c r="J163" s="42"/>
      <x:c r="K163" s="42"/>
      <x:c r="L163" s="42"/>
      <x:c r="M163" s="42"/>
      <x:c r="N163" s="42"/>
      <x:c r="O163" s="42"/>
      <x:c r="P163" s="42"/>
      <x:c r="Q163" s="42"/>
      <x:c r="R163" s="42"/>
    </x:row>
    <x:row r="164">
      <x:c r="A164" s="42"/>
      <x:c r="B164" s="42"/>
      <x:c r="C164" s="42"/>
      <x:c r="D164" s="42"/>
      <x:c r="E164" s="42"/>
      <x:c r="F164" s="42"/>
      <x:c r="G164" s="42"/>
      <x:c r="H164" s="42"/>
      <x:c r="I164" s="42"/>
      <x:c r="J164" s="42"/>
      <x:c r="K164" s="42"/>
      <x:c r="L164" s="42"/>
      <x:c r="M164" s="42"/>
      <x:c r="N164" s="42"/>
      <x:c r="O164" s="42"/>
      <x:c r="P164" s="42"/>
      <x:c r="Q164" s="42"/>
      <x:c r="R164" s="42"/>
    </x:row>
    <x:row r="165">
      <x:c r="A165" s="42"/>
      <x:c r="B165" s="42"/>
      <x:c r="C165" s="42"/>
      <x:c r="D165" s="42"/>
      <x:c r="E165" s="42"/>
      <x:c r="F165" s="42"/>
      <x:c r="G165" s="42"/>
      <x:c r="H165" s="42"/>
      <x:c r="I165" s="42"/>
      <x:c r="J165" s="42"/>
      <x:c r="K165" s="42"/>
      <x:c r="L165" s="42"/>
      <x:c r="M165" s="42"/>
      <x:c r="N165" s="42"/>
      <x:c r="O165" s="42"/>
      <x:c r="P165" s="42"/>
      <x:c r="Q165" s="42"/>
      <x:c r="R165" s="42"/>
    </x:row>
    <x:row r="166">
      <x:c r="A166" s="42"/>
      <x:c r="B166" s="42"/>
      <x:c r="C166" s="42"/>
      <x:c r="D166" s="42"/>
      <x:c r="E166" s="42"/>
      <x:c r="F166" s="42"/>
      <x:c r="G166" s="42"/>
      <x:c r="H166" s="42"/>
      <x:c r="I166" s="42"/>
      <x:c r="J166" s="42"/>
      <x:c r="K166" s="42"/>
      <x:c r="L166" s="42"/>
      <x:c r="M166" s="42"/>
      <x:c r="N166" s="42"/>
      <x:c r="O166" s="42"/>
      <x:c r="P166" s="42"/>
      <x:c r="Q166" s="42"/>
      <x:c r="R166" s="42"/>
    </x:row>
    <x:row r="167">
      <x:c r="A167" s="42"/>
      <x:c r="B167" s="42"/>
      <x:c r="C167" s="42"/>
      <x:c r="D167" s="42"/>
      <x:c r="E167" s="42"/>
      <x:c r="F167" s="42"/>
      <x:c r="G167" s="42"/>
      <x:c r="H167" s="42"/>
      <x:c r="I167" s="42"/>
      <x:c r="J167" s="42"/>
      <x:c r="K167" s="42"/>
      <x:c r="L167" s="42"/>
      <x:c r="M167" s="42"/>
      <x:c r="N167" s="42"/>
      <x:c r="O167" s="42"/>
      <x:c r="P167" s="42"/>
      <x:c r="Q167" s="42"/>
      <x:c r="R167" s="42"/>
    </x:row>
    <x:row r="168">
      <x:c r="A168" s="42"/>
      <x:c r="B168" s="42"/>
      <x:c r="C168" s="42"/>
      <x:c r="D168" s="42"/>
      <x:c r="E168" s="42"/>
      <x:c r="F168" s="42"/>
      <x:c r="G168" s="42"/>
      <x:c r="H168" s="42"/>
      <x:c r="I168" s="42"/>
      <x:c r="J168" s="42"/>
      <x:c r="K168" s="42"/>
      <x:c r="L168" s="42"/>
      <x:c r="M168" s="42"/>
      <x:c r="N168" s="42"/>
      <x:c r="O168" s="42"/>
      <x:c r="P168" s="42"/>
      <x:c r="Q168" s="42"/>
      <x:c r="R168" s="42"/>
    </x:row>
    <x:row r="169">
      <x:c r="A169" s="42"/>
      <x:c r="B169" s="42"/>
      <x:c r="C169" s="42"/>
      <x:c r="D169" s="42"/>
      <x:c r="E169" s="42"/>
      <x:c r="F169" s="42"/>
      <x:c r="G169" s="42"/>
      <x:c r="H169" s="42"/>
      <x:c r="I169" s="42"/>
      <x:c r="J169" s="42"/>
      <x:c r="K169" s="42"/>
      <x:c r="L169" s="42"/>
      <x:c r="M169" s="42"/>
      <x:c r="N169" s="42"/>
      <x:c r="O169" s="42"/>
      <x:c r="P169" s="42"/>
      <x:c r="Q169" s="42"/>
      <x:c r="R169" s="42"/>
    </x:row>
    <x:row r="170">
      <x:c r="A170" s="42"/>
      <x:c r="B170" s="42"/>
      <x:c r="C170" s="42"/>
      <x:c r="D170" s="42"/>
      <x:c r="E170" s="42"/>
      <x:c r="F170" s="42"/>
      <x:c r="G170" s="42"/>
      <x:c r="H170" s="42"/>
      <x:c r="I170" s="42"/>
      <x:c r="J170" s="42"/>
      <x:c r="K170" s="42"/>
      <x:c r="L170" s="42"/>
      <x:c r="M170" s="42"/>
      <x:c r="N170" s="42"/>
      <x:c r="O170" s="42"/>
      <x:c r="P170" s="42"/>
      <x:c r="Q170" s="42"/>
      <x:c r="R170" s="42"/>
    </x:row>
    <x:row r="171">
      <x:c r="A171" s="42"/>
      <x:c r="B171" s="42"/>
      <x:c r="C171" s="42"/>
      <x:c r="D171" s="42"/>
      <x:c r="E171" s="42"/>
      <x:c r="F171" s="42"/>
      <x:c r="G171" s="42"/>
      <x:c r="H171" s="42"/>
      <x:c r="I171" s="42"/>
      <x:c r="J171" s="42"/>
      <x:c r="K171" s="42"/>
      <x:c r="L171" s="42"/>
      <x:c r="M171" s="42"/>
      <x:c r="N171" s="42"/>
      <x:c r="O171" s="42"/>
      <x:c r="P171" s="42"/>
      <x:c r="Q171" s="42"/>
      <x:c r="R171" s="42"/>
    </x:row>
    <x:row r="172">
      <x:c r="A172" s="42"/>
      <x:c r="B172" s="42"/>
      <x:c r="C172" s="42"/>
      <x:c r="D172" s="42"/>
      <x:c r="E172" s="42"/>
      <x:c r="F172" s="42"/>
      <x:c r="G172" s="42"/>
      <x:c r="H172" s="42"/>
      <x:c r="I172" s="42"/>
      <x:c r="J172" s="42"/>
      <x:c r="K172" s="42"/>
      <x:c r="L172" s="42"/>
      <x:c r="M172" s="42"/>
      <x:c r="N172" s="42"/>
      <x:c r="O172" s="42"/>
      <x:c r="P172" s="42"/>
      <x:c r="Q172" s="42"/>
      <x:c r="R172" s="42"/>
    </x:row>
    <x:row r="173">
      <x:c r="A173" s="42"/>
      <x:c r="B173" s="42"/>
      <x:c r="C173" s="42"/>
      <x:c r="D173" s="42"/>
      <x:c r="E173" s="42"/>
      <x:c r="F173" s="42"/>
      <x:c r="G173" s="42"/>
      <x:c r="H173" s="42"/>
      <x:c r="I173" s="42"/>
      <x:c r="J173" s="42"/>
      <x:c r="K173" s="42"/>
      <x:c r="L173" s="42"/>
      <x:c r="M173" s="42"/>
      <x:c r="N173" s="42"/>
      <x:c r="O173" s="42"/>
      <x:c r="P173" s="42"/>
      <x:c r="Q173" s="42"/>
      <x:c r="R173" s="42"/>
    </x:row>
    <x:row r="174">
      <x:c r="A174" s="42"/>
      <x:c r="B174" s="42"/>
      <x:c r="C174" s="42"/>
      <x:c r="D174" s="42"/>
      <x:c r="E174" s="42"/>
      <x:c r="F174" s="42"/>
      <x:c r="G174" s="42"/>
      <x:c r="H174" s="42"/>
      <x:c r="I174" s="42"/>
      <x:c r="J174" s="42"/>
      <x:c r="K174" s="42"/>
      <x:c r="L174" s="42"/>
      <x:c r="M174" s="42"/>
      <x:c r="N174" s="42"/>
      <x:c r="O174" s="42"/>
      <x:c r="P174" s="42"/>
      <x:c r="Q174" s="42"/>
      <x:c r="R174" s="42"/>
    </x:row>
    <x:row r="175">
      <x:c r="A175" s="42"/>
      <x:c r="B175" s="42"/>
      <x:c r="C175" s="42"/>
      <x:c r="D175" s="42"/>
      <x:c r="E175" s="42"/>
      <x:c r="F175" s="42"/>
      <x:c r="G175" s="42"/>
      <x:c r="H175" s="42"/>
      <x:c r="I175" s="42"/>
      <x:c r="J175" s="42"/>
      <x:c r="K175" s="42"/>
      <x:c r="L175" s="42"/>
      <x:c r="M175" s="42"/>
      <x:c r="N175" s="42"/>
      <x:c r="O175" s="42"/>
      <x:c r="P175" s="42"/>
      <x:c r="Q175" s="42"/>
      <x:c r="R175" s="42"/>
    </x:row>
    <x:row r="176">
      <x:c r="A176" s="42"/>
      <x:c r="B176" s="42"/>
      <x:c r="C176" s="42"/>
      <x:c r="D176" s="42"/>
      <x:c r="E176" s="42"/>
      <x:c r="F176" s="42"/>
      <x:c r="G176" s="42"/>
      <x:c r="H176" s="42"/>
      <x:c r="I176" s="42"/>
      <x:c r="J176" s="42"/>
      <x:c r="K176" s="42"/>
      <x:c r="L176" s="42"/>
      <x:c r="M176" s="42"/>
      <x:c r="N176" s="42"/>
      <x:c r="O176" s="42"/>
      <x:c r="P176" s="42"/>
      <x:c r="Q176" s="42"/>
      <x:c r="R176" s="42"/>
    </x:row>
    <x:row r="177">
      <x:c r="A177" s="42"/>
      <x:c r="B177" s="42"/>
      <x:c r="C177" s="42"/>
      <x:c r="D177" s="42"/>
      <x:c r="E177" s="42"/>
      <x:c r="F177" s="42"/>
      <x:c r="G177" s="42"/>
      <x:c r="H177" s="42"/>
      <x:c r="I177" s="42"/>
      <x:c r="J177" s="42"/>
      <x:c r="K177" s="42"/>
      <x:c r="L177" s="42"/>
      <x:c r="M177" s="42"/>
      <x:c r="N177" s="42"/>
      <x:c r="O177" s="42"/>
      <x:c r="P177" s="42"/>
      <x:c r="Q177" s="42"/>
      <x:c r="R177" s="42"/>
    </x:row>
    <x:row r="178">
      <x:c r="A178" s="42"/>
      <x:c r="B178" s="42"/>
      <x:c r="C178" s="42"/>
      <x:c r="D178" s="42"/>
      <x:c r="E178" s="42"/>
      <x:c r="F178" s="42"/>
      <x:c r="G178" s="42"/>
      <x:c r="H178" s="42"/>
      <x:c r="I178" s="42"/>
      <x:c r="J178" s="42"/>
      <x:c r="K178" s="42"/>
      <x:c r="L178" s="42"/>
      <x:c r="M178" s="42"/>
      <x:c r="N178" s="42"/>
      <x:c r="O178" s="42"/>
      <x:c r="P178" s="42"/>
      <x:c r="Q178" s="42"/>
      <x:c r="R178" s="42"/>
    </x:row>
    <x:row r="179">
      <x:c r="A179" s="42"/>
      <x:c r="B179" s="42"/>
      <x:c r="C179" s="42"/>
      <x:c r="D179" s="42"/>
      <x:c r="E179" s="42"/>
      <x:c r="F179" s="42"/>
      <x:c r="G179" s="42"/>
      <x:c r="H179" s="42"/>
      <x:c r="I179" s="42"/>
      <x:c r="J179" s="42"/>
      <x:c r="K179" s="42"/>
      <x:c r="L179" s="42"/>
      <x:c r="M179" s="42"/>
      <x:c r="N179" s="42"/>
      <x:c r="O179" s="42"/>
      <x:c r="P179" s="42"/>
      <x:c r="Q179" s="42"/>
      <x:c r="R179" s="42"/>
    </x:row>
    <x:row r="180">
      <x:c r="A180" s="42"/>
      <x:c r="B180" s="42"/>
      <x:c r="C180" s="42"/>
      <x:c r="D180" s="42"/>
      <x:c r="E180" s="42"/>
      <x:c r="F180" s="42"/>
      <x:c r="G180" s="42"/>
      <x:c r="H180" s="42"/>
      <x:c r="I180" s="42"/>
      <x:c r="J180" s="42"/>
      <x:c r="K180" s="42"/>
      <x:c r="L180" s="42"/>
      <x:c r="M180" s="42"/>
      <x:c r="N180" s="42"/>
      <x:c r="O180" s="42"/>
      <x:c r="P180" s="42"/>
      <x:c r="Q180" s="42"/>
      <x:c r="R180" s="42"/>
    </x:row>
    <x:row r="181">
      <x:c r="A181" s="42"/>
      <x:c r="B181" s="42"/>
      <x:c r="C181" s="42"/>
      <x:c r="D181" s="42"/>
      <x:c r="E181" s="42"/>
      <x:c r="F181" s="42"/>
      <x:c r="G181" s="42"/>
      <x:c r="H181" s="42"/>
      <x:c r="I181" s="42"/>
      <x:c r="J181" s="42"/>
      <x:c r="K181" s="42"/>
      <x:c r="L181" s="42"/>
      <x:c r="M181" s="42"/>
      <x:c r="N181" s="42"/>
      <x:c r="O181" s="42"/>
      <x:c r="P181" s="42"/>
      <x:c r="Q181" s="42"/>
      <x:c r="R181" s="42"/>
    </x:row>
    <x:row r="182">
      <x:c r="A182" s="42"/>
      <x:c r="B182" s="42"/>
      <x:c r="C182" s="42"/>
      <x:c r="D182" s="42"/>
      <x:c r="E182" s="42"/>
      <x:c r="F182" s="42"/>
      <x:c r="G182" s="42"/>
      <x:c r="H182" s="42"/>
      <x:c r="I182" s="42"/>
      <x:c r="J182" s="42"/>
      <x:c r="K182" s="42"/>
      <x:c r="L182" s="42"/>
      <x:c r="M182" s="42"/>
      <x:c r="N182" s="42"/>
      <x:c r="O182" s="42"/>
      <x:c r="P182" s="42"/>
      <x:c r="Q182" s="42"/>
      <x:c r="R182" s="42"/>
    </x:row>
    <x:row r="183">
      <x:c r="A183" s="42"/>
      <x:c r="B183" s="42"/>
      <x:c r="C183" s="42"/>
      <x:c r="D183" s="42"/>
      <x:c r="E183" s="42"/>
      <x:c r="F183" s="42"/>
      <x:c r="G183" s="42"/>
      <x:c r="H183" s="42"/>
      <x:c r="I183" s="42"/>
      <x:c r="J183" s="42"/>
      <x:c r="K183" s="42"/>
      <x:c r="L183" s="42"/>
      <x:c r="M183" s="42"/>
      <x:c r="N183" s="42"/>
      <x:c r="O183" s="42"/>
      <x:c r="P183" s="42"/>
      <x:c r="Q183" s="42"/>
      <x:c r="R183" s="42"/>
    </x:row>
    <x:row r="184">
      <x:c r="A184" s="42"/>
      <x:c r="B184" s="42"/>
      <x:c r="C184" s="42"/>
      <x:c r="D184" s="42"/>
      <x:c r="E184" s="42"/>
      <x:c r="F184" s="42"/>
      <x:c r="G184" s="42"/>
      <x:c r="H184" s="42"/>
      <x:c r="I184" s="42"/>
      <x:c r="J184" s="42"/>
      <x:c r="K184" s="42"/>
      <x:c r="L184" s="42"/>
      <x:c r="M184" s="42"/>
      <x:c r="N184" s="42"/>
      <x:c r="O184" s="42"/>
      <x:c r="P184" s="42"/>
      <x:c r="Q184" s="42"/>
      <x:c r="R184" s="42"/>
    </x:row>
    <x:row r="185">
      <x:c r="A185" s="42"/>
      <x:c r="B185" s="42"/>
      <x:c r="C185" s="42"/>
      <x:c r="D185" s="42"/>
      <x:c r="E185" s="42"/>
      <x:c r="F185" s="42"/>
      <x:c r="G185" s="42"/>
      <x:c r="H185" s="42"/>
      <x:c r="I185" s="42"/>
      <x:c r="J185" s="42"/>
      <x:c r="K185" s="42"/>
      <x:c r="L185" s="42"/>
      <x:c r="M185" s="42"/>
      <x:c r="N185" s="42"/>
      <x:c r="O185" s="42"/>
      <x:c r="P185" s="42"/>
      <x:c r="Q185" s="42"/>
      <x:c r="R185" s="42"/>
    </x:row>
    <x:row r="186">
      <x:c r="A186" s="42"/>
      <x:c r="B186" s="42"/>
      <x:c r="C186" s="42"/>
      <x:c r="D186" s="42"/>
      <x:c r="E186" s="42"/>
      <x:c r="F186" s="42"/>
      <x:c r="G186" s="42"/>
      <x:c r="H186" s="42"/>
      <x:c r="I186" s="42"/>
      <x:c r="J186" s="42"/>
      <x:c r="K186" s="42"/>
      <x:c r="L186" s="42"/>
      <x:c r="M186" s="42"/>
      <x:c r="N186" s="42"/>
      <x:c r="O186" s="42"/>
      <x:c r="P186" s="42"/>
      <x:c r="Q186" s="42"/>
      <x:c r="R186" s="42"/>
    </x:row>
    <x:row r="187">
      <x:c r="A187" s="42"/>
      <x:c r="B187" s="42"/>
      <x:c r="C187" s="42"/>
      <x:c r="D187" s="42"/>
      <x:c r="E187" s="42"/>
      <x:c r="F187" s="42"/>
      <x:c r="G187" s="42"/>
      <x:c r="H187" s="42"/>
      <x:c r="I187" s="42"/>
      <x:c r="J187" s="42"/>
      <x:c r="K187" s="42"/>
      <x:c r="L187" s="42"/>
      <x:c r="M187" s="42"/>
      <x:c r="N187" s="42"/>
      <x:c r="O187" s="42"/>
      <x:c r="P187" s="42"/>
      <x:c r="Q187" s="42"/>
      <x:c r="R187" s="42"/>
    </x:row>
    <x:row r="188">
      <x:c r="A188" s="42"/>
      <x:c r="B188" s="42"/>
      <x:c r="C188" s="42"/>
      <x:c r="D188" s="42"/>
      <x:c r="E188" s="42"/>
      <x:c r="F188" s="42"/>
      <x:c r="G188" s="42"/>
      <x:c r="H188" s="42"/>
      <x:c r="I188" s="42"/>
      <x:c r="J188" s="42"/>
      <x:c r="K188" s="42"/>
      <x:c r="L188" s="42"/>
      <x:c r="M188" s="42"/>
      <x:c r="N188" s="42"/>
      <x:c r="O188" s="42"/>
      <x:c r="P188" s="42"/>
      <x:c r="Q188" s="42"/>
      <x:c r="R188" s="42"/>
    </x:row>
    <x:row r="189">
      <x:c r="A189" s="42"/>
      <x:c r="B189" s="42"/>
      <x:c r="C189" s="42"/>
      <x:c r="D189" s="42"/>
      <x:c r="E189" s="42"/>
      <x:c r="F189" s="42"/>
      <x:c r="G189" s="42"/>
      <x:c r="H189" s="42"/>
      <x:c r="I189" s="42"/>
      <x:c r="J189" s="42"/>
      <x:c r="K189" s="42"/>
      <x:c r="L189" s="42"/>
      <x:c r="M189" s="42"/>
      <x:c r="N189" s="42"/>
      <x:c r="O189" s="42"/>
      <x:c r="P189" s="42"/>
      <x:c r="Q189" s="42"/>
      <x:c r="R189" s="42"/>
    </x:row>
    <x:row r="190">
      <x:c r="A190" s="42"/>
      <x:c r="B190" s="42"/>
      <x:c r="C190" s="42"/>
      <x:c r="D190" s="42"/>
      <x:c r="E190" s="42"/>
      <x:c r="F190" s="42"/>
      <x:c r="G190" s="42"/>
      <x:c r="H190" s="42"/>
      <x:c r="I190" s="42"/>
      <x:c r="J190" s="42"/>
      <x:c r="K190" s="42"/>
      <x:c r="L190" s="42"/>
      <x:c r="M190" s="42"/>
      <x:c r="N190" s="42"/>
      <x:c r="O190" s="42"/>
      <x:c r="P190" s="42"/>
      <x:c r="Q190" s="42"/>
      <x:c r="R190" s="42"/>
    </x:row>
    <x:row r="191">
      <x:c r="A191" s="42"/>
      <x:c r="B191" s="42"/>
      <x:c r="C191" s="42"/>
      <x:c r="D191" s="42"/>
      <x:c r="E191" s="42"/>
      <x:c r="F191" s="42"/>
      <x:c r="G191" s="42"/>
      <x:c r="H191" s="42"/>
      <x:c r="I191" s="42"/>
      <x:c r="J191" s="42"/>
      <x:c r="K191" s="42"/>
      <x:c r="L191" s="42"/>
      <x:c r="M191" s="42"/>
      <x:c r="N191" s="42"/>
      <x:c r="O191" s="42"/>
      <x:c r="P191" s="42"/>
      <x:c r="Q191" s="42"/>
      <x:c r="R191" s="42"/>
    </x:row>
    <x:row r="192">
      <x:c r="A192" s="42"/>
      <x:c r="B192" s="42"/>
      <x:c r="C192" s="42"/>
      <x:c r="D192" s="42"/>
      <x:c r="E192" s="42"/>
      <x:c r="F192" s="42"/>
      <x:c r="G192" s="42"/>
      <x:c r="H192" s="42"/>
      <x:c r="I192" s="42"/>
      <x:c r="J192" s="42"/>
      <x:c r="K192" s="42"/>
      <x:c r="L192" s="42"/>
      <x:c r="M192" s="42"/>
      <x:c r="N192" s="42"/>
      <x:c r="O192" s="42"/>
      <x:c r="P192" s="42"/>
      <x:c r="Q192" s="42"/>
      <x:c r="R192" s="42"/>
    </x:row>
    <x:row r="193">
      <x:c r="A193" s="42"/>
      <x:c r="B193" s="42"/>
      <x:c r="C193" s="42"/>
      <x:c r="D193" s="42"/>
      <x:c r="E193" s="42"/>
      <x:c r="F193" s="42"/>
      <x:c r="G193" s="42"/>
      <x:c r="H193" s="42"/>
      <x:c r="I193" s="42"/>
      <x:c r="J193" s="42"/>
      <x:c r="K193" s="42"/>
      <x:c r="L193" s="42"/>
      <x:c r="M193" s="42"/>
      <x:c r="N193" s="42"/>
      <x:c r="O193" s="42"/>
      <x:c r="P193" s="42"/>
      <x:c r="Q193" s="42"/>
      <x:c r="R193" s="42"/>
    </x:row>
    <x:row r="194">
      <x:c r="A194" s="42"/>
      <x:c r="B194" s="42"/>
      <x:c r="C194" s="42"/>
      <x:c r="D194" s="42"/>
      <x:c r="E194" s="42"/>
      <x:c r="F194" s="42"/>
      <x:c r="G194" s="42"/>
      <x:c r="H194" s="42"/>
      <x:c r="I194" s="42"/>
      <x:c r="J194" s="42"/>
      <x:c r="K194" s="42"/>
      <x:c r="L194" s="42"/>
      <x:c r="M194" s="42"/>
      <x:c r="N194" s="42"/>
      <x:c r="O194" s="42"/>
      <x:c r="P194" s="42"/>
      <x:c r="Q194" s="42"/>
      <x:c r="R194" s="42"/>
    </x:row>
    <x:row r="195">
      <x:c r="A195" s="42"/>
      <x:c r="B195" s="42"/>
      <x:c r="C195" s="42"/>
      <x:c r="D195" s="42"/>
      <x:c r="E195" s="42"/>
      <x:c r="F195" s="42"/>
      <x:c r="G195" s="42"/>
      <x:c r="H195" s="42"/>
      <x:c r="I195" s="42"/>
      <x:c r="J195" s="42"/>
      <x:c r="K195" s="42"/>
      <x:c r="L195" s="42"/>
      <x:c r="M195" s="42"/>
      <x:c r="N195" s="42"/>
      <x:c r="O195" s="42"/>
      <x:c r="P195" s="42"/>
      <x:c r="Q195" s="42"/>
      <x:c r="R195" s="42"/>
    </x:row>
    <x:row r="196">
      <x:c r="A196" s="42"/>
      <x:c r="B196" s="42"/>
      <x:c r="C196" s="42"/>
      <x:c r="D196" s="42"/>
      <x:c r="E196" s="42"/>
      <x:c r="F196" s="42"/>
      <x:c r="G196" s="42"/>
      <x:c r="H196" s="42"/>
      <x:c r="I196" s="42"/>
      <x:c r="J196" s="42"/>
      <x:c r="K196" s="42"/>
      <x:c r="L196" s="42"/>
      <x:c r="M196" s="42"/>
      <x:c r="N196" s="42"/>
      <x:c r="O196" s="42"/>
      <x:c r="P196" s="42"/>
      <x:c r="Q196" s="42"/>
      <x:c r="R196" s="42"/>
    </x:row>
    <x:row r="197">
      <x:c r="A197" s="42"/>
      <x:c r="B197" s="42"/>
      <x:c r="C197" s="42"/>
      <x:c r="D197" s="42"/>
      <x:c r="E197" s="42"/>
      <x:c r="F197" s="42"/>
      <x:c r="G197" s="42"/>
      <x:c r="H197" s="42"/>
      <x:c r="I197" s="42"/>
      <x:c r="J197" s="42"/>
      <x:c r="K197" s="42"/>
      <x:c r="L197" s="42"/>
      <x:c r="M197" s="42"/>
      <x:c r="N197" s="42"/>
      <x:c r="O197" s="42"/>
      <x:c r="P197" s="42"/>
      <x:c r="Q197" s="42"/>
      <x:c r="R197" s="42"/>
    </x:row>
    <x:row r="198">
      <x:c r="A198" s="42"/>
      <x:c r="B198" s="42"/>
      <x:c r="C198" s="42"/>
      <x:c r="D198" s="42"/>
      <x:c r="E198" s="42"/>
      <x:c r="F198" s="42"/>
      <x:c r="G198" s="42"/>
      <x:c r="H198" s="42"/>
      <x:c r="I198" s="42"/>
      <x:c r="J198" s="42"/>
      <x:c r="K198" s="42"/>
      <x:c r="L198" s="42"/>
      <x:c r="M198" s="42"/>
      <x:c r="N198" s="42"/>
      <x:c r="O198" s="42"/>
      <x:c r="P198" s="42"/>
      <x:c r="Q198" s="42"/>
      <x:c r="R198" s="42"/>
    </x:row>
    <x:row r="199">
      <x:c r="A199" s="42"/>
      <x:c r="B199" s="42"/>
      <x:c r="C199" s="42"/>
      <x:c r="D199" s="42"/>
      <x:c r="E199" s="42"/>
      <x:c r="F199" s="42"/>
      <x:c r="G199" s="42"/>
      <x:c r="H199" s="42"/>
      <x:c r="I199" s="42"/>
      <x:c r="J199" s="42"/>
      <x:c r="K199" s="42"/>
      <x:c r="L199" s="42"/>
      <x:c r="M199" s="42"/>
      <x:c r="N199" s="42"/>
      <x:c r="O199" s="42"/>
      <x:c r="P199" s="42"/>
      <x:c r="Q199" s="42"/>
      <x:c r="R199" s="42"/>
    </x:row>
    <x:row r="200">
      <x:c r="A200" s="42"/>
      <x:c r="B200" s="42"/>
      <x:c r="C200" s="42"/>
      <x:c r="D200" s="42"/>
      <x:c r="E200" s="42"/>
      <x:c r="F200" s="42"/>
      <x:c r="G200" s="42"/>
      <x:c r="H200" s="42"/>
      <x:c r="I200" s="42"/>
      <x:c r="J200" s="42"/>
      <x:c r="K200" s="42"/>
      <x:c r="L200" s="42"/>
      <x:c r="M200" s="42"/>
      <x:c r="N200" s="42"/>
      <x:c r="O200" s="42"/>
      <x:c r="P200" s="42"/>
      <x:c r="Q200" s="42"/>
      <x:c r="R200" s="42"/>
    </x:row>
    <x:row r="201">
      <x:c r="A201" s="42"/>
      <x:c r="B201" s="42"/>
      <x:c r="C201" s="42"/>
      <x:c r="D201" s="42"/>
      <x:c r="E201" s="42"/>
      <x:c r="F201" s="42"/>
      <x:c r="G201" s="42"/>
      <x:c r="H201" s="42"/>
      <x:c r="I201" s="42"/>
      <x:c r="J201" s="42"/>
      <x:c r="K201" s="42"/>
      <x:c r="L201" s="42"/>
      <x:c r="M201" s="42"/>
      <x:c r="N201" s="42"/>
      <x:c r="O201" s="42"/>
      <x:c r="P201" s="42"/>
      <x:c r="Q201" s="42"/>
      <x:c r="R201" s="42"/>
    </x:row>
    <x:row r="202">
      <x:c r="A202" s="42"/>
      <x:c r="B202" s="42"/>
      <x:c r="C202" s="42"/>
      <x:c r="D202" s="42"/>
      <x:c r="E202" s="42"/>
      <x:c r="F202" s="42"/>
      <x:c r="G202" s="42"/>
      <x:c r="H202" s="42"/>
      <x:c r="I202" s="42"/>
      <x:c r="J202" s="42"/>
      <x:c r="K202" s="42"/>
      <x:c r="L202" s="42"/>
      <x:c r="M202" s="42"/>
      <x:c r="N202" s="42"/>
      <x:c r="O202" s="42"/>
      <x:c r="P202" s="42"/>
      <x:c r="Q202" s="42"/>
      <x:c r="R202" s="42"/>
    </x:row>
    <x:row r="203">
      <x:c r="A203" s="42"/>
      <x:c r="B203" s="42"/>
      <x:c r="C203" s="42"/>
      <x:c r="D203" s="42"/>
      <x:c r="E203" s="42"/>
      <x:c r="F203" s="42"/>
      <x:c r="G203" s="42"/>
      <x:c r="H203" s="42"/>
      <x:c r="I203" s="42"/>
      <x:c r="J203" s="42"/>
      <x:c r="K203" s="42"/>
      <x:c r="L203" s="42"/>
      <x:c r="M203" s="42"/>
      <x:c r="N203" s="42"/>
      <x:c r="O203" s="42"/>
      <x:c r="P203" s="42"/>
      <x:c r="Q203" s="42"/>
      <x:c r="R203" s="42"/>
    </x:row>
    <x:row r="204">
      <x:c r="A204" s="42"/>
      <x:c r="B204" s="42"/>
      <x:c r="C204" s="42"/>
      <x:c r="D204" s="42"/>
      <x:c r="E204" s="42"/>
      <x:c r="F204" s="42"/>
      <x:c r="G204" s="42"/>
      <x:c r="H204" s="42"/>
      <x:c r="I204" s="42"/>
      <x:c r="J204" s="42"/>
      <x:c r="K204" s="42"/>
      <x:c r="L204" s="42"/>
      <x:c r="M204" s="42"/>
      <x:c r="N204" s="42"/>
      <x:c r="O204" s="42"/>
      <x:c r="P204" s="42"/>
      <x:c r="Q204" s="42"/>
      <x:c r="R204" s="42"/>
    </x:row>
    <x:row r="205">
      <x:c r="A205" s="42"/>
      <x:c r="B205" s="42"/>
      <x:c r="C205" s="42"/>
      <x:c r="D205" s="42"/>
      <x:c r="E205" s="42"/>
      <x:c r="F205" s="42"/>
      <x:c r="G205" s="42"/>
      <x:c r="H205" s="42"/>
      <x:c r="I205" s="42"/>
      <x:c r="J205" s="42"/>
      <x:c r="K205" s="42"/>
      <x:c r="L205" s="42"/>
      <x:c r="M205" s="42"/>
      <x:c r="N205" s="42"/>
      <x:c r="O205" s="42"/>
      <x:c r="P205" s="42"/>
      <x:c r="Q205" s="42"/>
      <x:c r="R205" s="42"/>
    </x:row>
    <x:row r="206">
      <x:c r="A206" s="42"/>
      <x:c r="B206" s="42"/>
      <x:c r="C206" s="42"/>
      <x:c r="D206" s="42"/>
      <x:c r="E206" s="42"/>
      <x:c r="F206" s="42"/>
      <x:c r="G206" s="42"/>
      <x:c r="H206" s="42"/>
      <x:c r="I206" s="42"/>
      <x:c r="J206" s="42"/>
      <x:c r="K206" s="42"/>
      <x:c r="L206" s="42"/>
      <x:c r="M206" s="42"/>
      <x:c r="N206" s="42"/>
      <x:c r="O206" s="42"/>
      <x:c r="P206" s="42"/>
      <x:c r="Q206" s="42"/>
      <x:c r="R206" s="42"/>
    </x:row>
    <x:row r="207">
      <x:c r="A207" s="42"/>
      <x:c r="B207" s="42"/>
      <x:c r="C207" s="42"/>
      <x:c r="D207" s="42"/>
      <x:c r="E207" s="42"/>
      <x:c r="F207" s="42"/>
      <x:c r="G207" s="42"/>
      <x:c r="H207" s="42"/>
      <x:c r="I207" s="42"/>
      <x:c r="J207" s="42"/>
      <x:c r="K207" s="42"/>
      <x:c r="L207" s="42"/>
      <x:c r="M207" s="42"/>
      <x:c r="N207" s="42"/>
      <x:c r="O207" s="42"/>
      <x:c r="P207" s="42"/>
      <x:c r="Q207" s="42"/>
      <x:c r="R207" s="42"/>
    </x:row>
    <x:row r="208">
      <x:c r="A208" s="42"/>
      <x:c r="B208" s="42"/>
      <x:c r="C208" s="42"/>
      <x:c r="D208" s="42"/>
      <x:c r="E208" s="42"/>
      <x:c r="F208" s="42"/>
      <x:c r="G208" s="42"/>
      <x:c r="H208" s="42"/>
      <x:c r="I208" s="42"/>
      <x:c r="J208" s="42"/>
      <x:c r="K208" s="42"/>
      <x:c r="L208" s="42"/>
      <x:c r="M208" s="42"/>
      <x:c r="N208" s="42"/>
      <x:c r="O208" s="42"/>
      <x:c r="P208" s="42"/>
      <x:c r="Q208" s="42"/>
      <x:c r="R208" s="42"/>
    </x:row>
    <x:row r="209">
      <x:c r="A209" s="42"/>
      <x:c r="B209" s="42"/>
      <x:c r="C209" s="42"/>
      <x:c r="D209" s="42"/>
      <x:c r="E209" s="42"/>
      <x:c r="F209" s="42"/>
      <x:c r="G209" s="42"/>
      <x:c r="H209" s="42"/>
      <x:c r="I209" s="42"/>
      <x:c r="J209" s="42"/>
      <x:c r="K209" s="42"/>
      <x:c r="L209" s="42"/>
      <x:c r="M209" s="42"/>
      <x:c r="N209" s="42"/>
      <x:c r="O209" s="42"/>
      <x:c r="P209" s="42"/>
      <x:c r="Q209" s="42"/>
      <x:c r="R209" s="42"/>
    </x:row>
    <x:row r="210">
      <x:c r="A210" s="42"/>
      <x:c r="B210" s="42"/>
      <x:c r="C210" s="42"/>
      <x:c r="D210" s="42"/>
      <x:c r="E210" s="42"/>
      <x:c r="F210" s="42"/>
      <x:c r="G210" s="42"/>
      <x:c r="H210" s="42"/>
      <x:c r="I210" s="42"/>
      <x:c r="J210" s="42"/>
      <x:c r="K210" s="42"/>
      <x:c r="L210" s="42"/>
      <x:c r="M210" s="42"/>
      <x:c r="N210" s="42"/>
      <x:c r="O210" s="42"/>
      <x:c r="P210" s="42"/>
      <x:c r="Q210" s="42"/>
      <x:c r="R210" s="42"/>
    </x:row>
    <x:row r="211">
      <x:c r="A211" s="42"/>
      <x:c r="B211" s="42"/>
      <x:c r="C211" s="42"/>
      <x:c r="D211" s="42"/>
      <x:c r="E211" s="42"/>
      <x:c r="F211" s="42"/>
      <x:c r="G211" s="42"/>
      <x:c r="H211" s="42"/>
      <x:c r="I211" s="42"/>
      <x:c r="J211" s="42"/>
      <x:c r="K211" s="42"/>
      <x:c r="L211" s="42"/>
      <x:c r="M211" s="42"/>
      <x:c r="N211" s="42"/>
      <x:c r="O211" s="42"/>
      <x:c r="P211" s="42"/>
      <x:c r="Q211" s="42"/>
      <x:c r="R211" s="42"/>
    </x:row>
    <x:row r="212">
      <x:c r="A212" s="42"/>
      <x:c r="B212" s="42"/>
      <x:c r="C212" s="42"/>
      <x:c r="D212" s="42"/>
      <x:c r="E212" s="42"/>
      <x:c r="F212" s="42"/>
      <x:c r="G212" s="42"/>
      <x:c r="H212" s="42"/>
      <x:c r="I212" s="42"/>
      <x:c r="J212" s="42"/>
      <x:c r="K212" s="42"/>
      <x:c r="L212" s="42"/>
      <x:c r="M212" s="42"/>
      <x:c r="N212" s="42"/>
      <x:c r="O212" s="42"/>
      <x:c r="P212" s="42"/>
      <x:c r="Q212" s="42"/>
      <x:c r="R212" s="42"/>
    </x:row>
    <x:row r="213">
      <x:c r="A213" s="42"/>
      <x:c r="B213" s="42"/>
      <x:c r="C213" s="42"/>
      <x:c r="D213" s="42"/>
      <x:c r="E213" s="42"/>
      <x:c r="F213" s="42"/>
      <x:c r="G213" s="42"/>
      <x:c r="H213" s="42"/>
      <x:c r="I213" s="42"/>
      <x:c r="J213" s="42"/>
      <x:c r="K213" s="42"/>
      <x:c r="L213" s="42"/>
      <x:c r="M213" s="42"/>
      <x:c r="N213" s="42"/>
      <x:c r="O213" s="42"/>
      <x:c r="P213" s="42"/>
      <x:c r="Q213" s="42"/>
      <x:c r="R213" s="42"/>
    </x:row>
    <x:row r="214">
      <x:c r="A214" s="42"/>
      <x:c r="B214" s="42"/>
      <x:c r="C214" s="42"/>
      <x:c r="D214" s="42"/>
      <x:c r="E214" s="42"/>
      <x:c r="F214" s="42"/>
      <x:c r="G214" s="42"/>
      <x:c r="H214" s="42"/>
      <x:c r="I214" s="42"/>
      <x:c r="J214" s="42"/>
      <x:c r="K214" s="42"/>
      <x:c r="L214" s="42"/>
      <x:c r="M214" s="42"/>
      <x:c r="N214" s="42"/>
      <x:c r="O214" s="42"/>
      <x:c r="P214" s="42"/>
      <x:c r="Q214" s="42"/>
      <x:c r="R214" s="42"/>
    </x:row>
    <x:row r="215">
      <x:c r="A215" s="42"/>
      <x:c r="B215" s="42"/>
      <x:c r="C215" s="42"/>
      <x:c r="D215" s="42"/>
      <x:c r="E215" s="42"/>
      <x:c r="F215" s="42"/>
      <x:c r="G215" s="42"/>
      <x:c r="H215" s="42"/>
      <x:c r="I215" s="42"/>
      <x:c r="J215" s="42"/>
      <x:c r="K215" s="42"/>
      <x:c r="L215" s="42"/>
      <x:c r="M215" s="42"/>
      <x:c r="N215" s="42"/>
      <x:c r="O215" s="42"/>
      <x:c r="P215" s="42"/>
      <x:c r="Q215" s="42"/>
      <x:c r="R215" s="42"/>
    </x:row>
    <x:row r="216">
      <x:c r="A216" s="42"/>
      <x:c r="B216" s="42"/>
      <x:c r="C216" s="42"/>
      <x:c r="D216" s="42"/>
      <x:c r="E216" s="42"/>
      <x:c r="F216" s="42"/>
      <x:c r="G216" s="42"/>
      <x:c r="H216" s="42"/>
      <x:c r="I216" s="42"/>
      <x:c r="J216" s="42"/>
      <x:c r="K216" s="42"/>
      <x:c r="L216" s="42"/>
      <x:c r="M216" s="42"/>
      <x:c r="N216" s="42"/>
      <x:c r="O216" s="42"/>
      <x:c r="P216" s="42"/>
      <x:c r="Q216" s="42"/>
      <x:c r="R216" s="42"/>
    </x:row>
    <x:row r="217">
      <x:c r="A217" s="42"/>
      <x:c r="B217" s="42"/>
      <x:c r="C217" s="42"/>
      <x:c r="D217" s="42"/>
      <x:c r="E217" s="42"/>
      <x:c r="F217" s="42"/>
      <x:c r="G217" s="42"/>
      <x:c r="H217" s="42"/>
      <x:c r="I217" s="42"/>
      <x:c r="J217" s="42"/>
      <x:c r="K217" s="42"/>
      <x:c r="L217" s="42"/>
      <x:c r="M217" s="42"/>
      <x:c r="N217" s="42"/>
      <x:c r="O217" s="42"/>
      <x:c r="P217" s="42"/>
      <x:c r="Q217" s="42"/>
      <x:c r="R217" s="42"/>
    </x:row>
    <x:row r="218">
      <x:c r="A218" s="42"/>
      <x:c r="B218" s="42"/>
      <x:c r="C218" s="42"/>
      <x:c r="D218" s="42"/>
      <x:c r="E218" s="42"/>
      <x:c r="F218" s="42"/>
      <x:c r="G218" s="42"/>
      <x:c r="H218" s="42"/>
      <x:c r="I218" s="42"/>
      <x:c r="J218" s="42"/>
      <x:c r="K218" s="42"/>
      <x:c r="L218" s="42"/>
      <x:c r="M218" s="42"/>
      <x:c r="N218" s="42"/>
      <x:c r="O218" s="42"/>
      <x:c r="P218" s="42"/>
      <x:c r="Q218" s="42"/>
      <x:c r="R218" s="42"/>
    </x:row>
    <x:row r="219">
      <x:c r="A219" s="42"/>
      <x:c r="B219" s="42"/>
      <x:c r="C219" s="42"/>
      <x:c r="D219" s="42"/>
      <x:c r="E219" s="42"/>
      <x:c r="F219" s="42"/>
      <x:c r="G219" s="42"/>
      <x:c r="H219" s="42"/>
      <x:c r="I219" s="42"/>
      <x:c r="J219" s="42"/>
      <x:c r="K219" s="42"/>
      <x:c r="L219" s="42"/>
      <x:c r="M219" s="42"/>
      <x:c r="N219" s="42"/>
      <x:c r="O219" s="42"/>
      <x:c r="P219" s="42"/>
      <x:c r="Q219" s="42"/>
      <x:c r="R219" s="42"/>
    </x:row>
    <x:row r="220">
      <x:c r="A220" s="42"/>
      <x:c r="B220" s="42"/>
      <x:c r="C220" s="42"/>
      <x:c r="D220" s="42"/>
      <x:c r="E220" s="42"/>
      <x:c r="F220" s="42"/>
      <x:c r="G220" s="42"/>
      <x:c r="H220" s="42"/>
      <x:c r="I220" s="42"/>
      <x:c r="J220" s="42"/>
      <x:c r="K220" s="42"/>
      <x:c r="L220" s="42"/>
      <x:c r="M220" s="42"/>
      <x:c r="N220" s="42"/>
      <x:c r="O220" s="42"/>
      <x:c r="P220" s="42"/>
      <x:c r="Q220" s="42"/>
      <x:c r="R220" s="42"/>
    </x:row>
    <x:row r="221">
      <x:c r="A221" s="42"/>
      <x:c r="B221" s="42"/>
      <x:c r="C221" s="42"/>
      <x:c r="D221" s="42"/>
      <x:c r="E221" s="42"/>
      <x:c r="F221" s="42"/>
      <x:c r="G221" s="42"/>
      <x:c r="H221" s="42"/>
      <x:c r="I221" s="42"/>
      <x:c r="J221" s="42"/>
      <x:c r="K221" s="42"/>
      <x:c r="L221" s="42"/>
      <x:c r="M221" s="42"/>
      <x:c r="N221" s="42"/>
      <x:c r="O221" s="42"/>
      <x:c r="P221" s="42"/>
      <x:c r="Q221" s="42"/>
      <x:c r="R221" s="42"/>
    </x:row>
    <x:row r="222">
      <x:c r="A222" s="42"/>
      <x:c r="B222" s="42"/>
      <x:c r="C222" s="42"/>
      <x:c r="D222" s="42"/>
      <x:c r="E222" s="42"/>
      <x:c r="F222" s="42"/>
      <x:c r="G222" s="42"/>
      <x:c r="H222" s="42"/>
      <x:c r="I222" s="42"/>
      <x:c r="J222" s="42"/>
      <x:c r="K222" s="42"/>
      <x:c r="L222" s="42"/>
      <x:c r="M222" s="42"/>
      <x:c r="N222" s="42"/>
      <x:c r="O222" s="42"/>
      <x:c r="P222" s="42"/>
      <x:c r="Q222" s="42"/>
      <x:c r="R222" s="42"/>
    </x:row>
    <x:row r="223">
      <x:c r="A223" s="42"/>
      <x:c r="B223" s="42"/>
      <x:c r="C223" s="42"/>
      <x:c r="D223" s="42"/>
      <x:c r="E223" s="42"/>
      <x:c r="F223" s="42"/>
      <x:c r="G223" s="42"/>
      <x:c r="H223" s="42"/>
      <x:c r="I223" s="42"/>
      <x:c r="J223" s="42"/>
      <x:c r="K223" s="42"/>
      <x:c r="L223" s="42"/>
      <x:c r="M223" s="42"/>
      <x:c r="N223" s="42"/>
      <x:c r="O223" s="42"/>
      <x:c r="P223" s="42"/>
      <x:c r="Q223" s="42"/>
      <x:c r="R223" s="42"/>
    </x:row>
    <x:row r="224">
      <x:c r="A224" s="42"/>
      <x:c r="B224" s="42"/>
      <x:c r="C224" s="42"/>
      <x:c r="D224" s="42"/>
      <x:c r="E224" s="42"/>
      <x:c r="F224" s="42"/>
      <x:c r="G224" s="42"/>
      <x:c r="H224" s="42"/>
      <x:c r="I224" s="42"/>
      <x:c r="J224" s="42"/>
      <x:c r="K224" s="42"/>
      <x:c r="L224" s="42"/>
      <x:c r="M224" s="42"/>
      <x:c r="N224" s="42"/>
      <x:c r="O224" s="42"/>
      <x:c r="P224" s="42"/>
      <x:c r="Q224" s="42"/>
      <x:c r="R224" s="42"/>
    </x:row>
    <x:row r="225">
      <x:c r="A225" s="42"/>
      <x:c r="B225" s="42"/>
      <x:c r="C225" s="42"/>
      <x:c r="D225" s="42"/>
      <x:c r="E225" s="42"/>
      <x:c r="F225" s="42"/>
      <x:c r="G225" s="42"/>
      <x:c r="H225" s="42"/>
      <x:c r="I225" s="42"/>
      <x:c r="J225" s="42"/>
      <x:c r="K225" s="42"/>
      <x:c r="L225" s="42"/>
      <x:c r="M225" s="42"/>
      <x:c r="N225" s="42"/>
      <x:c r="O225" s="42"/>
      <x:c r="P225" s="42"/>
      <x:c r="Q225" s="42"/>
      <x:c r="R225" s="42"/>
    </x:row>
    <x:row r="226">
      <x:c r="A226" s="42"/>
      <x:c r="B226" s="42"/>
      <x:c r="C226" s="42"/>
      <x:c r="D226" s="42"/>
      <x:c r="E226" s="42"/>
      <x:c r="F226" s="42"/>
      <x:c r="G226" s="42"/>
      <x:c r="H226" s="42"/>
      <x:c r="I226" s="42"/>
      <x:c r="J226" s="42"/>
      <x:c r="K226" s="42"/>
      <x:c r="L226" s="42"/>
      <x:c r="M226" s="42"/>
      <x:c r="N226" s="42"/>
      <x:c r="O226" s="42"/>
      <x:c r="P226" s="42"/>
      <x:c r="Q226" s="42"/>
      <x:c r="R226" s="42"/>
    </x:row>
    <x:row r="227">
      <x:c r="A227" s="42"/>
      <x:c r="B227" s="42"/>
      <x:c r="C227" s="42"/>
      <x:c r="D227" s="42"/>
      <x:c r="E227" s="42"/>
      <x:c r="F227" s="42"/>
      <x:c r="G227" s="42"/>
      <x:c r="H227" s="42"/>
      <x:c r="I227" s="42"/>
      <x:c r="J227" s="42"/>
      <x:c r="K227" s="42"/>
      <x:c r="L227" s="42"/>
      <x:c r="M227" s="42"/>
      <x:c r="N227" s="42"/>
      <x:c r="O227" s="42"/>
      <x:c r="P227" s="42"/>
      <x:c r="Q227" s="42"/>
      <x:c r="R227" s="42"/>
    </x:row>
    <x:row r="228">
      <x:c r="A228" s="42"/>
      <x:c r="B228" s="42"/>
      <x:c r="C228" s="42"/>
      <x:c r="D228" s="42"/>
      <x:c r="E228" s="42"/>
      <x:c r="F228" s="42"/>
      <x:c r="G228" s="42"/>
      <x:c r="H228" s="42"/>
      <x:c r="I228" s="42"/>
      <x:c r="J228" s="42"/>
      <x:c r="K228" s="42"/>
      <x:c r="L228" s="42"/>
      <x:c r="M228" s="42"/>
      <x:c r="N228" s="42"/>
      <x:c r="O228" s="42"/>
      <x:c r="P228" s="42"/>
      <x:c r="Q228" s="42"/>
      <x:c r="R228" s="42"/>
    </x:row>
    <x:row r="229">
      <x:c r="A229" s="42"/>
      <x:c r="B229" s="42"/>
      <x:c r="C229" s="42"/>
      <x:c r="D229" s="42"/>
      <x:c r="E229" s="42"/>
      <x:c r="F229" s="42"/>
      <x:c r="G229" s="42"/>
      <x:c r="H229" s="42"/>
      <x:c r="I229" s="42"/>
      <x:c r="J229" s="42"/>
      <x:c r="K229" s="42"/>
      <x:c r="L229" s="42"/>
      <x:c r="M229" s="42"/>
      <x:c r="N229" s="42"/>
      <x:c r="O229" s="42"/>
      <x:c r="P229" s="42"/>
      <x:c r="Q229" s="42"/>
      <x:c r="R229" s="42"/>
    </x:row>
    <x:row r="230">
      <x:c r="A230" s="42"/>
      <x:c r="B230" s="42"/>
      <x:c r="C230" s="42"/>
      <x:c r="D230" s="42"/>
      <x:c r="E230" s="42"/>
      <x:c r="F230" s="42"/>
      <x:c r="G230" s="42"/>
      <x:c r="H230" s="42"/>
      <x:c r="I230" s="42"/>
      <x:c r="J230" s="42"/>
      <x:c r="K230" s="42"/>
      <x:c r="L230" s="42"/>
      <x:c r="M230" s="42"/>
      <x:c r="N230" s="42"/>
      <x:c r="O230" s="42"/>
      <x:c r="P230" s="42"/>
      <x:c r="Q230" s="42"/>
      <x:c r="R230" s="42"/>
    </x:row>
    <x:row r="231">
      <x:c r="A231" s="42"/>
      <x:c r="B231" s="42"/>
      <x:c r="C231" s="42"/>
      <x:c r="D231" s="42"/>
      <x:c r="E231" s="42"/>
      <x:c r="F231" s="42"/>
      <x:c r="G231" s="42"/>
      <x:c r="H231" s="42"/>
      <x:c r="I231" s="42"/>
      <x:c r="J231" s="42"/>
      <x:c r="K231" s="42"/>
      <x:c r="L231" s="42"/>
      <x:c r="M231" s="42"/>
      <x:c r="N231" s="42"/>
      <x:c r="O231" s="42"/>
      <x:c r="P231" s="42"/>
      <x:c r="Q231" s="42"/>
      <x:c r="R231" s="42"/>
    </x:row>
    <x:row r="232">
      <x:c r="A232" s="42"/>
      <x:c r="B232" s="42"/>
      <x:c r="C232" s="42"/>
      <x:c r="D232" s="42"/>
      <x:c r="E232" s="42"/>
      <x:c r="F232" s="42"/>
      <x:c r="G232" s="42"/>
      <x:c r="H232" s="42"/>
      <x:c r="I232" s="42"/>
      <x:c r="J232" s="42"/>
      <x:c r="K232" s="42"/>
      <x:c r="L232" s="42"/>
      <x:c r="M232" s="42"/>
      <x:c r="N232" s="42"/>
      <x:c r="O232" s="42"/>
      <x:c r="P232" s="42"/>
      <x:c r="Q232" s="42"/>
      <x:c r="R232" s="42"/>
    </x:row>
    <x:row r="233">
      <x:c r="A233" s="42"/>
      <x:c r="B233" s="42"/>
      <x:c r="C233" s="42"/>
      <x:c r="D233" s="42"/>
      <x:c r="E233" s="42"/>
      <x:c r="F233" s="42"/>
      <x:c r="G233" s="42"/>
      <x:c r="H233" s="42"/>
      <x:c r="I233" s="42"/>
      <x:c r="J233" s="42"/>
      <x:c r="K233" s="42"/>
      <x:c r="L233" s="42"/>
      <x:c r="M233" s="42"/>
      <x:c r="N233" s="42"/>
      <x:c r="O233" s="42"/>
      <x:c r="P233" s="42"/>
      <x:c r="Q233" s="42"/>
      <x:c r="R233" s="42"/>
    </x:row>
    <x:row r="234">
      <x:c r="A234" s="42"/>
      <x:c r="B234" s="42"/>
      <x:c r="C234" s="42"/>
      <x:c r="D234" s="42"/>
      <x:c r="E234" s="42"/>
      <x:c r="F234" s="42"/>
      <x:c r="G234" s="42"/>
      <x:c r="H234" s="42"/>
      <x:c r="I234" s="42"/>
      <x:c r="J234" s="42"/>
      <x:c r="K234" s="42"/>
      <x:c r="L234" s="42"/>
      <x:c r="M234" s="42"/>
      <x:c r="N234" s="42"/>
      <x:c r="O234" s="42"/>
      <x:c r="P234" s="42"/>
      <x:c r="Q234" s="42"/>
      <x:c r="R234" s="42"/>
    </x:row>
    <x:row r="235">
      <x:c r="A235" s="42"/>
      <x:c r="B235" s="42"/>
      <x:c r="C235" s="42"/>
      <x:c r="D235" s="42"/>
      <x:c r="E235" s="42"/>
      <x:c r="F235" s="42"/>
      <x:c r="G235" s="42"/>
      <x:c r="H235" s="42"/>
      <x:c r="I235" s="42"/>
      <x:c r="J235" s="42"/>
      <x:c r="K235" s="42"/>
      <x:c r="L235" s="42"/>
      <x:c r="M235" s="42"/>
      <x:c r="N235" s="42"/>
      <x:c r="O235" s="42"/>
      <x:c r="P235" s="42"/>
      <x:c r="Q235" s="42"/>
      <x:c r="R235" s="42"/>
    </x:row>
    <x:row r="236">
      <x:c r="A236" s="42"/>
      <x:c r="B236" s="42"/>
      <x:c r="C236" s="42"/>
      <x:c r="D236" s="42"/>
      <x:c r="E236" s="42"/>
      <x:c r="F236" s="42"/>
      <x:c r="G236" s="42"/>
      <x:c r="H236" s="42"/>
      <x:c r="I236" s="42"/>
      <x:c r="J236" s="42"/>
      <x:c r="K236" s="42"/>
      <x:c r="L236" s="42"/>
      <x:c r="M236" s="42"/>
      <x:c r="N236" s="42"/>
      <x:c r="O236" s="42"/>
      <x:c r="P236" s="42"/>
      <x:c r="Q236" s="42"/>
      <x:c r="R236" s="42"/>
    </x:row>
    <x:row r="237">
      <x:c r="A237" s="42"/>
      <x:c r="B237" s="42"/>
      <x:c r="C237" s="42"/>
      <x:c r="D237" s="42"/>
      <x:c r="E237" s="42"/>
      <x:c r="F237" s="42"/>
      <x:c r="G237" s="42"/>
      <x:c r="H237" s="42"/>
      <x:c r="I237" s="42"/>
      <x:c r="J237" s="42"/>
      <x:c r="K237" s="42"/>
      <x:c r="L237" s="42"/>
      <x:c r="M237" s="42"/>
      <x:c r="N237" s="42"/>
      <x:c r="O237" s="42"/>
      <x:c r="P237" s="42"/>
      <x:c r="Q237" s="42"/>
      <x:c r="R237" s="42"/>
    </x:row>
    <x:row r="238">
      <x:c r="A238" s="42"/>
      <x:c r="B238" s="42"/>
      <x:c r="C238" s="42"/>
      <x:c r="D238" s="42"/>
      <x:c r="E238" s="42"/>
      <x:c r="F238" s="42"/>
      <x:c r="G238" s="42"/>
      <x:c r="H238" s="42"/>
      <x:c r="I238" s="42"/>
      <x:c r="J238" s="42"/>
      <x:c r="K238" s="42"/>
      <x:c r="L238" s="42"/>
      <x:c r="M238" s="42"/>
      <x:c r="N238" s="42"/>
      <x:c r="O238" s="42"/>
      <x:c r="P238" s="42"/>
      <x:c r="Q238" s="42"/>
      <x:c r="R238" s="42"/>
    </x:row>
    <x:row r="239">
      <x:c r="A239" s="42"/>
      <x:c r="B239" s="42"/>
      <x:c r="C239" s="42"/>
      <x:c r="D239" s="42"/>
      <x:c r="E239" s="42"/>
      <x:c r="F239" s="42"/>
      <x:c r="G239" s="42"/>
      <x:c r="H239" s="42"/>
      <x:c r="I239" s="42"/>
      <x:c r="J239" s="42"/>
      <x:c r="K239" s="42"/>
      <x:c r="L239" s="42"/>
      <x:c r="M239" s="42"/>
      <x:c r="N239" s="42"/>
      <x:c r="O239" s="42"/>
      <x:c r="P239" s="42"/>
      <x:c r="Q239" s="42"/>
      <x:c r="R239" s="42"/>
    </x:row>
    <x:row r="240">
      <x:c r="A240" s="42"/>
      <x:c r="B240" s="42"/>
      <x:c r="C240" s="42"/>
      <x:c r="D240" s="42"/>
      <x:c r="E240" s="42"/>
      <x:c r="F240" s="42"/>
      <x:c r="G240" s="42"/>
      <x:c r="H240" s="42"/>
      <x:c r="I240" s="42"/>
      <x:c r="J240" s="42"/>
      <x:c r="K240" s="42"/>
      <x:c r="L240" s="42"/>
      <x:c r="M240" s="42"/>
      <x:c r="N240" s="42"/>
      <x:c r="O240" s="42"/>
      <x:c r="P240" s="42"/>
      <x:c r="Q240" s="42"/>
      <x:c r="R240" s="42"/>
    </x:row>
    <x:row r="241">
      <x:c r="A241" s="42"/>
      <x:c r="B241" s="42"/>
      <x:c r="C241" s="42"/>
      <x:c r="D241" s="42"/>
      <x:c r="E241" s="42"/>
      <x:c r="F241" s="42"/>
      <x:c r="G241" s="42"/>
      <x:c r="H241" s="42"/>
      <x:c r="I241" s="42"/>
      <x:c r="J241" s="42"/>
      <x:c r="K241" s="42"/>
      <x:c r="L241" s="42"/>
      <x:c r="M241" s="42"/>
      <x:c r="N241" s="42"/>
      <x:c r="O241" s="42"/>
      <x:c r="P241" s="42"/>
      <x:c r="Q241" s="42"/>
      <x:c r="R241" s="42"/>
    </x:row>
    <x:row r="242">
      <x:c r="A242" s="42"/>
      <x:c r="B242" s="42"/>
      <x:c r="C242" s="42"/>
      <x:c r="D242" s="42"/>
      <x:c r="E242" s="42"/>
      <x:c r="F242" s="42"/>
      <x:c r="G242" s="42"/>
      <x:c r="H242" s="42"/>
      <x:c r="I242" s="42"/>
      <x:c r="J242" s="42"/>
      <x:c r="K242" s="42"/>
      <x:c r="L242" s="42"/>
      <x:c r="M242" s="42"/>
      <x:c r="N242" s="42"/>
      <x:c r="O242" s="42"/>
      <x:c r="P242" s="42"/>
      <x:c r="Q242" s="42"/>
      <x:c r="R242" s="42"/>
    </x:row>
    <x:row r="243">
      <x:c r="A243" s="42"/>
      <x:c r="B243" s="42"/>
      <x:c r="C243" s="42"/>
      <x:c r="D243" s="42"/>
      <x:c r="E243" s="42"/>
      <x:c r="F243" s="42"/>
      <x:c r="G243" s="42"/>
      <x:c r="H243" s="42"/>
      <x:c r="I243" s="42"/>
      <x:c r="J243" s="42"/>
      <x:c r="K243" s="42"/>
      <x:c r="L243" s="42"/>
      <x:c r="M243" s="42"/>
      <x:c r="N243" s="42"/>
      <x:c r="O243" s="42"/>
      <x:c r="P243" s="42"/>
      <x:c r="Q243" s="42"/>
      <x:c r="R243" s="42"/>
    </x:row>
    <x:row r="244">
      <x:c r="A244" s="42"/>
      <x:c r="B244" s="42"/>
      <x:c r="C244" s="42"/>
      <x:c r="D244" s="42"/>
      <x:c r="E244" s="42"/>
      <x:c r="F244" s="42"/>
      <x:c r="G244" s="42"/>
      <x:c r="H244" s="42"/>
      <x:c r="I244" s="42"/>
      <x:c r="J244" s="42"/>
      <x:c r="K244" s="42"/>
      <x:c r="L244" s="42"/>
      <x:c r="M244" s="42"/>
      <x:c r="N244" s="42"/>
      <x:c r="O244" s="42"/>
      <x:c r="P244" s="42"/>
      <x:c r="Q244" s="42"/>
      <x:c r="R244" s="42"/>
    </x:row>
    <x:row r="245">
      <x:c r="A245" s="42"/>
      <x:c r="B245" s="42"/>
      <x:c r="C245" s="42"/>
      <x:c r="D245" s="42"/>
      <x:c r="E245" s="42"/>
      <x:c r="F245" s="42"/>
      <x:c r="G245" s="42"/>
      <x:c r="H245" s="42"/>
      <x:c r="I245" s="42"/>
      <x:c r="J245" s="42"/>
      <x:c r="K245" s="42"/>
      <x:c r="L245" s="42"/>
      <x:c r="M245" s="42"/>
      <x:c r="N245" s="42"/>
      <x:c r="O245" s="42"/>
      <x:c r="P245" s="42"/>
      <x:c r="Q245" s="42"/>
      <x:c r="R245" s="42"/>
    </x:row>
    <x:row r="246">
      <x:c r="A246" s="42"/>
      <x:c r="B246" s="42"/>
      <x:c r="C246" s="42"/>
      <x:c r="D246" s="42"/>
      <x:c r="E246" s="42"/>
      <x:c r="F246" s="42"/>
      <x:c r="G246" s="42"/>
      <x:c r="H246" s="42"/>
      <x:c r="I246" s="42"/>
      <x:c r="J246" s="42"/>
      <x:c r="K246" s="42"/>
      <x:c r="L246" s="42"/>
      <x:c r="M246" s="42"/>
      <x:c r="N246" s="42"/>
      <x:c r="O246" s="42"/>
      <x:c r="P246" s="42"/>
      <x:c r="Q246" s="42"/>
      <x:c r="R246" s="42"/>
    </x:row>
    <x:row r="247">
      <x:c r="A247" s="42"/>
      <x:c r="B247" s="42"/>
      <x:c r="C247" s="42"/>
      <x:c r="D247" s="42"/>
      <x:c r="E247" s="42"/>
      <x:c r="F247" s="42"/>
      <x:c r="G247" s="42"/>
      <x:c r="H247" s="42"/>
      <x:c r="I247" s="42"/>
      <x:c r="J247" s="42"/>
      <x:c r="K247" s="42"/>
      <x:c r="L247" s="42"/>
      <x:c r="M247" s="42"/>
      <x:c r="N247" s="42"/>
      <x:c r="O247" s="42"/>
      <x:c r="P247" s="42"/>
      <x:c r="Q247" s="42"/>
      <x:c r="R247" s="42"/>
    </x:row>
    <x:row r="248">
      <x:c r="A248" s="42"/>
      <x:c r="B248" s="42"/>
      <x:c r="C248" s="42"/>
      <x:c r="D248" s="42"/>
      <x:c r="E248" s="42"/>
      <x:c r="F248" s="42"/>
      <x:c r="G248" s="42"/>
      <x:c r="H248" s="42"/>
      <x:c r="I248" s="42"/>
      <x:c r="J248" s="42"/>
      <x:c r="K248" s="42"/>
      <x:c r="L248" s="42"/>
      <x:c r="M248" s="42"/>
      <x:c r="N248" s="42"/>
      <x:c r="O248" s="42"/>
      <x:c r="P248" s="42"/>
      <x:c r="Q248" s="42"/>
      <x:c r="R248" s="42"/>
    </x:row>
    <x:row r="249">
      <x:c r="A249" s="42"/>
      <x:c r="B249" s="42"/>
      <x:c r="C249" s="42"/>
      <x:c r="D249" s="42"/>
      <x:c r="E249" s="42"/>
      <x:c r="F249" s="42"/>
      <x:c r="G249" s="42"/>
      <x:c r="H249" s="42"/>
      <x:c r="I249" s="42"/>
      <x:c r="J249" s="42"/>
      <x:c r="K249" s="42"/>
      <x:c r="L249" s="42"/>
      <x:c r="M249" s="42"/>
      <x:c r="N249" s="42"/>
      <x:c r="O249" s="42"/>
      <x:c r="P249" s="42"/>
      <x:c r="Q249" s="42"/>
      <x:c r="R249" s="42"/>
    </x:row>
    <x:row r="250">
      <x:c r="A250" s="42"/>
      <x:c r="B250" s="42"/>
      <x:c r="C250" s="42"/>
      <x:c r="D250" s="42"/>
      <x:c r="E250" s="42"/>
      <x:c r="F250" s="42"/>
      <x:c r="G250" s="42"/>
      <x:c r="H250" s="42"/>
      <x:c r="I250" s="42"/>
      <x:c r="J250" s="42"/>
      <x:c r="K250" s="42"/>
      <x:c r="L250" s="42"/>
      <x:c r="M250" s="42"/>
      <x:c r="N250" s="42"/>
      <x:c r="O250" s="42"/>
      <x:c r="P250" s="42"/>
      <x:c r="Q250" s="42"/>
      <x:c r="R250" s="42"/>
    </x:row>
    <x:row r="251">
      <x:c r="A251" s="42"/>
      <x:c r="B251" s="42"/>
      <x:c r="C251" s="42"/>
      <x:c r="D251" s="42"/>
      <x:c r="E251" s="42"/>
      <x:c r="F251" s="42"/>
      <x:c r="G251" s="42"/>
      <x:c r="H251" s="42"/>
      <x:c r="I251" s="42"/>
      <x:c r="J251" s="42"/>
      <x:c r="K251" s="42"/>
      <x:c r="L251" s="42"/>
      <x:c r="M251" s="42"/>
      <x:c r="N251" s="42"/>
      <x:c r="O251" s="42"/>
      <x:c r="P251" s="42"/>
      <x:c r="Q251" s="42"/>
      <x:c r="R251" s="42"/>
    </x:row>
    <x:row r="252">
      <x:c r="A252" s="42"/>
      <x:c r="B252" s="42"/>
      <x:c r="C252" s="42"/>
      <x:c r="D252" s="42"/>
      <x:c r="E252" s="42"/>
      <x:c r="F252" s="42"/>
      <x:c r="G252" s="42"/>
      <x:c r="H252" s="42"/>
      <x:c r="I252" s="42"/>
      <x:c r="J252" s="42"/>
      <x:c r="K252" s="42"/>
      <x:c r="L252" s="42"/>
      <x:c r="M252" s="42"/>
      <x:c r="N252" s="42"/>
      <x:c r="O252" s="42"/>
      <x:c r="P252" s="42"/>
      <x:c r="Q252" s="42"/>
      <x:c r="R252" s="42"/>
    </x:row>
    <x:row r="253">
      <x:c r="A253" s="42"/>
      <x:c r="B253" s="42"/>
      <x:c r="C253" s="42"/>
      <x:c r="D253" s="42"/>
      <x:c r="E253" s="42"/>
      <x:c r="F253" s="42"/>
      <x:c r="G253" s="42"/>
      <x:c r="H253" s="42"/>
      <x:c r="I253" s="42"/>
      <x:c r="J253" s="42"/>
      <x:c r="K253" s="42"/>
      <x:c r="L253" s="42"/>
      <x:c r="M253" s="42"/>
      <x:c r="N253" s="42"/>
      <x:c r="O253" s="42"/>
      <x:c r="P253" s="42"/>
      <x:c r="Q253" s="42"/>
      <x:c r="R253" s="42"/>
    </x:row>
    <x:row r="254">
      <x:c r="A254" s="42"/>
      <x:c r="B254" s="42"/>
      <x:c r="C254" s="42"/>
      <x:c r="D254" s="42"/>
      <x:c r="E254" s="42"/>
      <x:c r="F254" s="42"/>
      <x:c r="G254" s="42"/>
      <x:c r="H254" s="42"/>
      <x:c r="I254" s="42"/>
      <x:c r="J254" s="42"/>
      <x:c r="K254" s="42"/>
      <x:c r="L254" s="42"/>
      <x:c r="M254" s="42"/>
      <x:c r="N254" s="42"/>
      <x:c r="O254" s="42"/>
      <x:c r="P254" s="42"/>
      <x:c r="Q254" s="42"/>
      <x:c r="R254" s="42"/>
    </x:row>
    <x:row r="255">
      <x:c r="A255" s="42"/>
      <x:c r="B255" s="42"/>
      <x:c r="C255" s="42"/>
      <x:c r="D255" s="42"/>
      <x:c r="E255" s="42"/>
      <x:c r="F255" s="42"/>
      <x:c r="G255" s="42"/>
      <x:c r="H255" s="42"/>
      <x:c r="I255" s="42"/>
      <x:c r="J255" s="42"/>
      <x:c r="K255" s="42"/>
      <x:c r="L255" s="42"/>
      <x:c r="M255" s="42"/>
      <x:c r="N255" s="42"/>
      <x:c r="O255" s="42"/>
      <x:c r="P255" s="42"/>
      <x:c r="Q255" s="42"/>
      <x:c r="R255" s="42"/>
    </x:row>
    <x:row r="256">
      <x:c r="A256" s="42"/>
      <x:c r="B256" s="42"/>
      <x:c r="C256" s="42"/>
      <x:c r="D256" s="42"/>
      <x:c r="E256" s="42"/>
      <x:c r="F256" s="42"/>
      <x:c r="G256" s="42"/>
      <x:c r="H256" s="42"/>
      <x:c r="I256" s="42"/>
      <x:c r="J256" s="42"/>
      <x:c r="K256" s="42"/>
      <x:c r="L256" s="42"/>
      <x:c r="M256" s="42"/>
      <x:c r="N256" s="42"/>
      <x:c r="O256" s="42"/>
      <x:c r="P256" s="42"/>
      <x:c r="Q256" s="42"/>
      <x:c r="R256" s="42"/>
    </x:row>
    <x:row r="257">
      <x:c r="A257" s="42"/>
      <x:c r="B257" s="42"/>
      <x:c r="C257" s="42"/>
      <x:c r="D257" s="42"/>
      <x:c r="E257" s="42"/>
      <x:c r="F257" s="42"/>
      <x:c r="G257" s="42"/>
      <x:c r="H257" s="42"/>
      <x:c r="I257" s="42"/>
      <x:c r="J257" s="42"/>
      <x:c r="K257" s="42"/>
      <x:c r="L257" s="42"/>
      <x:c r="M257" s="42"/>
      <x:c r="N257" s="42"/>
      <x:c r="O257" s="42"/>
      <x:c r="P257" s="42"/>
      <x:c r="Q257" s="42"/>
      <x:c r="R257" s="42"/>
    </x:row>
    <x:row r="258">
      <x:c r="A258" s="42"/>
      <x:c r="B258" s="42"/>
      <x:c r="C258" s="42"/>
      <x:c r="D258" s="42"/>
      <x:c r="E258" s="42"/>
      <x:c r="F258" s="42"/>
      <x:c r="G258" s="42"/>
      <x:c r="H258" s="42"/>
      <x:c r="I258" s="42"/>
      <x:c r="J258" s="42"/>
      <x:c r="K258" s="42"/>
      <x:c r="L258" s="42"/>
      <x:c r="M258" s="42"/>
      <x:c r="N258" s="42"/>
      <x:c r="O258" s="42"/>
      <x:c r="P258" s="42"/>
      <x:c r="Q258" s="42"/>
      <x:c r="R258" s="42"/>
    </x:row>
    <x:row r="259">
      <x:c r="A259" s="42"/>
      <x:c r="B259" s="42"/>
      <x:c r="C259" s="42"/>
      <x:c r="D259" s="42"/>
      <x:c r="E259" s="42"/>
      <x:c r="F259" s="42"/>
      <x:c r="G259" s="42"/>
      <x:c r="H259" s="42"/>
      <x:c r="I259" s="42"/>
      <x:c r="J259" s="42"/>
      <x:c r="K259" s="42"/>
      <x:c r="L259" s="42"/>
      <x:c r="M259" s="42"/>
      <x:c r="N259" s="42"/>
      <x:c r="O259" s="42"/>
      <x:c r="P259" s="42"/>
      <x:c r="Q259" s="42"/>
      <x:c r="R259" s="42"/>
    </x:row>
    <x:row r="260">
      <x:c r="A260" s="42"/>
      <x:c r="B260" s="42"/>
      <x:c r="C260" s="42"/>
      <x:c r="D260" s="42"/>
      <x:c r="E260" s="42"/>
      <x:c r="F260" s="42"/>
      <x:c r="G260" s="42"/>
      <x:c r="H260" s="42"/>
      <x:c r="I260" s="42"/>
      <x:c r="J260" s="42"/>
      <x:c r="K260" s="42"/>
      <x:c r="L260" s="42"/>
      <x:c r="M260" s="42"/>
      <x:c r="N260" s="42"/>
      <x:c r="O260" s="42"/>
      <x:c r="P260" s="42"/>
      <x:c r="Q260" s="42"/>
      <x:c r="R260" s="42"/>
    </x:row>
    <x:row r="261">
      <x:c r="A261" s="42"/>
      <x:c r="B261" s="42"/>
      <x:c r="C261" s="42"/>
      <x:c r="D261" s="42"/>
      <x:c r="E261" s="42"/>
      <x:c r="F261" s="42"/>
      <x:c r="G261" s="42"/>
      <x:c r="H261" s="42"/>
      <x:c r="I261" s="42"/>
      <x:c r="J261" s="42"/>
      <x:c r="K261" s="42"/>
      <x:c r="L261" s="42"/>
      <x:c r="M261" s="42"/>
      <x:c r="N261" s="42"/>
      <x:c r="O261" s="42"/>
      <x:c r="P261" s="42"/>
      <x:c r="Q261" s="42"/>
      <x:c r="R261" s="42"/>
    </x:row>
    <x:row r="262">
      <x:c r="A262" s="42"/>
      <x:c r="B262" s="42"/>
      <x:c r="C262" s="42"/>
      <x:c r="D262" s="42"/>
      <x:c r="E262" s="42"/>
      <x:c r="F262" s="42"/>
      <x:c r="G262" s="42"/>
      <x:c r="H262" s="42"/>
      <x:c r="I262" s="42"/>
      <x:c r="J262" s="42"/>
      <x:c r="K262" s="42"/>
      <x:c r="L262" s="42"/>
      <x:c r="M262" s="42"/>
      <x:c r="N262" s="42"/>
      <x:c r="O262" s="42"/>
      <x:c r="P262" s="42"/>
      <x:c r="Q262" s="42"/>
      <x:c r="R262" s="42"/>
    </x:row>
    <x:row r="263">
      <x:c r="A263" s="42"/>
      <x:c r="B263" s="42"/>
      <x:c r="C263" s="42"/>
      <x:c r="D263" s="42"/>
      <x:c r="E263" s="42"/>
      <x:c r="F263" s="42"/>
      <x:c r="G263" s="42"/>
      <x:c r="H263" s="42"/>
      <x:c r="I263" s="42"/>
      <x:c r="J263" s="42"/>
      <x:c r="K263" s="42"/>
      <x:c r="L263" s="42"/>
      <x:c r="M263" s="42"/>
      <x:c r="N263" s="42"/>
      <x:c r="O263" s="42"/>
      <x:c r="P263" s="42"/>
      <x:c r="Q263" s="42"/>
      <x:c r="R263" s="42"/>
    </x:row>
    <x:row r="264">
      <x:c r="A264" s="42"/>
      <x:c r="B264" s="42"/>
      <x:c r="C264" s="42"/>
      <x:c r="D264" s="42"/>
      <x:c r="E264" s="42"/>
      <x:c r="F264" s="42"/>
      <x:c r="G264" s="42"/>
      <x:c r="H264" s="42"/>
      <x:c r="I264" s="42"/>
      <x:c r="J264" s="42"/>
      <x:c r="K264" s="42"/>
      <x:c r="L264" s="42"/>
      <x:c r="M264" s="42"/>
      <x:c r="N264" s="42"/>
      <x:c r="O264" s="42"/>
      <x:c r="P264" s="42"/>
      <x:c r="Q264" s="42"/>
      <x:c r="R264" s="42"/>
    </x:row>
    <x:row r="265">
      <x:c r="A265" s="42"/>
      <x:c r="B265" s="42"/>
      <x:c r="C265" s="42"/>
      <x:c r="D265" s="42"/>
      <x:c r="E265" s="42"/>
      <x:c r="F265" s="42"/>
      <x:c r="G265" s="42"/>
      <x:c r="H265" s="42"/>
      <x:c r="I265" s="42"/>
      <x:c r="J265" s="42"/>
      <x:c r="K265" s="42"/>
      <x:c r="L265" s="42"/>
      <x:c r="M265" s="42"/>
      <x:c r="N265" s="42"/>
      <x:c r="O265" s="42"/>
      <x:c r="P265" s="42"/>
      <x:c r="Q265" s="42"/>
      <x:c r="R265" s="42"/>
    </x:row>
    <x:row r="266">
      <x:c r="A266" s="42"/>
      <x:c r="B266" s="42"/>
      <x:c r="C266" s="42"/>
      <x:c r="D266" s="42"/>
      <x:c r="E266" s="42"/>
      <x:c r="F266" s="42"/>
      <x:c r="G266" s="42"/>
      <x:c r="H266" s="42"/>
      <x:c r="I266" s="42"/>
      <x:c r="J266" s="42"/>
      <x:c r="K266" s="42"/>
      <x:c r="L266" s="42"/>
      <x:c r="M266" s="42"/>
      <x:c r="N266" s="42"/>
      <x:c r="O266" s="42"/>
      <x:c r="P266" s="42"/>
      <x:c r="Q266" s="42"/>
      <x:c r="R266" s="42"/>
    </x:row>
    <x:row r="267">
      <x:c r="A267" s="42"/>
      <x:c r="B267" s="42"/>
      <x:c r="C267" s="42"/>
      <x:c r="D267" s="42"/>
      <x:c r="E267" s="42"/>
      <x:c r="F267" s="42"/>
      <x:c r="G267" s="42"/>
      <x:c r="H267" s="42"/>
      <x:c r="I267" s="42"/>
      <x:c r="J267" s="42"/>
      <x:c r="K267" s="42"/>
      <x:c r="L267" s="42"/>
      <x:c r="M267" s="42"/>
      <x:c r="N267" s="42"/>
      <x:c r="O267" s="42"/>
      <x:c r="P267" s="42"/>
      <x:c r="Q267" s="42"/>
      <x:c r="R267" s="42"/>
    </x:row>
    <x:row r="268">
      <x:c r="A268" s="42"/>
      <x:c r="B268" s="42"/>
      <x:c r="C268" s="42"/>
      <x:c r="D268" s="42"/>
      <x:c r="E268" s="42"/>
      <x:c r="F268" s="42"/>
      <x:c r="G268" s="42"/>
      <x:c r="H268" s="42"/>
      <x:c r="I268" s="42"/>
      <x:c r="J268" s="42"/>
      <x:c r="K268" s="42"/>
      <x:c r="L268" s="42"/>
      <x:c r="M268" s="42"/>
      <x:c r="N268" s="42"/>
      <x:c r="O268" s="42"/>
      <x:c r="P268" s="42"/>
      <x:c r="Q268" s="42"/>
      <x:c r="R268" s="42"/>
    </x:row>
    <x:row r="269">
      <x:c r="A269" s="42"/>
      <x:c r="B269" s="42"/>
      <x:c r="C269" s="42"/>
      <x:c r="D269" s="42"/>
      <x:c r="E269" s="42"/>
      <x:c r="F269" s="42"/>
      <x:c r="G269" s="42"/>
      <x:c r="H269" s="42"/>
      <x:c r="I269" s="42"/>
      <x:c r="J269" s="42"/>
      <x:c r="K269" s="42"/>
      <x:c r="L269" s="42"/>
      <x:c r="M269" s="42"/>
      <x:c r="N269" s="42"/>
      <x:c r="O269" s="42"/>
      <x:c r="P269" s="42"/>
      <x:c r="Q269" s="42"/>
      <x:c r="R269" s="42"/>
    </x:row>
    <x:row r="270">
      <x:c r="A270" s="42"/>
      <x:c r="B270" s="42"/>
      <x:c r="C270" s="42"/>
      <x:c r="D270" s="42"/>
      <x:c r="E270" s="42"/>
      <x:c r="F270" s="42"/>
      <x:c r="G270" s="42"/>
      <x:c r="H270" s="42"/>
      <x:c r="I270" s="42"/>
      <x:c r="J270" s="42"/>
      <x:c r="K270" s="42"/>
      <x:c r="L270" s="42"/>
      <x:c r="M270" s="42"/>
      <x:c r="N270" s="42"/>
      <x:c r="O270" s="42"/>
      <x:c r="P270" s="42"/>
      <x:c r="Q270" s="42"/>
      <x:c r="R270" s="42"/>
    </x:row>
    <x:row r="271">
      <x:c r="A271" s="42"/>
      <x:c r="B271" s="42"/>
      <x:c r="C271" s="42"/>
      <x:c r="D271" s="42"/>
      <x:c r="E271" s="42"/>
      <x:c r="F271" s="42"/>
      <x:c r="G271" s="42"/>
      <x:c r="H271" s="42"/>
      <x:c r="I271" s="42"/>
      <x:c r="J271" s="42"/>
      <x:c r="K271" s="42"/>
      <x:c r="L271" s="42"/>
      <x:c r="M271" s="42"/>
      <x:c r="N271" s="42"/>
      <x:c r="O271" s="42"/>
      <x:c r="P271" s="42"/>
      <x:c r="Q271" s="42"/>
      <x:c r="R271" s="42"/>
    </x:row>
    <x:row r="272">
      <x:c r="A272" s="42"/>
      <x:c r="B272" s="42"/>
      <x:c r="C272" s="42"/>
      <x:c r="D272" s="42"/>
      <x:c r="E272" s="42"/>
      <x:c r="F272" s="42"/>
      <x:c r="G272" s="42"/>
      <x:c r="H272" s="42"/>
      <x:c r="I272" s="42"/>
      <x:c r="J272" s="42"/>
      <x:c r="K272" s="42"/>
      <x:c r="L272" s="42"/>
      <x:c r="M272" s="42"/>
      <x:c r="N272" s="42"/>
      <x:c r="O272" s="42"/>
      <x:c r="P272" s="42"/>
      <x:c r="Q272" s="42"/>
      <x:c r="R272" s="42"/>
    </x:row>
    <x:row r="273">
      <x:c r="A273" s="42"/>
      <x:c r="B273" s="42"/>
      <x:c r="C273" s="42"/>
      <x:c r="D273" s="42"/>
      <x:c r="E273" s="42"/>
      <x:c r="F273" s="42"/>
      <x:c r="G273" s="42"/>
      <x:c r="H273" s="42"/>
      <x:c r="I273" s="42"/>
      <x:c r="J273" s="42"/>
      <x:c r="K273" s="42"/>
      <x:c r="L273" s="42"/>
      <x:c r="M273" s="42"/>
      <x:c r="N273" s="42"/>
      <x:c r="O273" s="42"/>
      <x:c r="P273" s="42"/>
      <x:c r="Q273" s="42"/>
      <x:c r="R273" s="42"/>
    </x:row>
    <x:row r="274">
      <x:c r="A274" s="42"/>
      <x:c r="B274" s="42"/>
      <x:c r="C274" s="42"/>
      <x:c r="D274" s="42"/>
      <x:c r="E274" s="42"/>
      <x:c r="F274" s="42"/>
      <x:c r="G274" s="42"/>
      <x:c r="H274" s="42"/>
      <x:c r="I274" s="42"/>
      <x:c r="J274" s="42"/>
      <x:c r="K274" s="42"/>
      <x:c r="L274" s="42"/>
      <x:c r="M274" s="42"/>
      <x:c r="N274" s="42"/>
      <x:c r="O274" s="42"/>
      <x:c r="P274" s="42"/>
      <x:c r="Q274" s="42"/>
      <x:c r="R274" s="42"/>
    </x:row>
    <x:row r="275">
      <x:c r="A275" s="42"/>
      <x:c r="B275" s="42"/>
      <x:c r="C275" s="42"/>
      <x:c r="D275" s="42"/>
      <x:c r="E275" s="42"/>
      <x:c r="F275" s="42"/>
      <x:c r="G275" s="42"/>
      <x:c r="H275" s="42"/>
      <x:c r="I275" s="42"/>
      <x:c r="J275" s="42"/>
      <x:c r="K275" s="42"/>
      <x:c r="L275" s="42"/>
      <x:c r="M275" s="42"/>
      <x:c r="N275" s="42"/>
      <x:c r="O275" s="42"/>
      <x:c r="P275" s="42"/>
      <x:c r="Q275" s="42"/>
      <x:c r="R275" s="42"/>
    </x:row>
    <x:row r="276">
      <x:c r="A276" s="42"/>
      <x:c r="B276" s="42"/>
      <x:c r="C276" s="42"/>
      <x:c r="D276" s="42"/>
      <x:c r="E276" s="42"/>
      <x:c r="F276" s="42"/>
      <x:c r="G276" s="42"/>
      <x:c r="H276" s="42"/>
      <x:c r="I276" s="42"/>
      <x:c r="J276" s="42"/>
      <x:c r="K276" s="42"/>
      <x:c r="L276" s="42"/>
      <x:c r="M276" s="42"/>
      <x:c r="N276" s="42"/>
      <x:c r="O276" s="42"/>
      <x:c r="P276" s="42"/>
      <x:c r="Q276" s="42"/>
      <x:c r="R276" s="42"/>
    </x:row>
    <x:row r="277">
      <x:c r="A277" s="42"/>
      <x:c r="B277" s="42"/>
      <x:c r="C277" s="42"/>
      <x:c r="D277" s="42"/>
      <x:c r="E277" s="42"/>
      <x:c r="F277" s="42"/>
      <x:c r="G277" s="42"/>
      <x:c r="H277" s="42"/>
      <x:c r="I277" s="42"/>
      <x:c r="J277" s="42"/>
      <x:c r="K277" s="42"/>
      <x:c r="L277" s="42"/>
      <x:c r="M277" s="42"/>
      <x:c r="N277" s="42"/>
      <x:c r="O277" s="42"/>
      <x:c r="P277" s="42"/>
      <x:c r="Q277" s="42"/>
      <x:c r="R277" s="42"/>
    </x:row>
    <x:row r="278">
      <x:c r="A278" s="42"/>
      <x:c r="B278" s="42"/>
      <x:c r="C278" s="42"/>
      <x:c r="D278" s="42"/>
      <x:c r="E278" s="42"/>
      <x:c r="F278" s="42"/>
      <x:c r="G278" s="42"/>
      <x:c r="H278" s="42"/>
      <x:c r="I278" s="42"/>
      <x:c r="J278" s="42"/>
      <x:c r="K278" s="42"/>
      <x:c r="L278" s="42"/>
      <x:c r="M278" s="42"/>
      <x:c r="N278" s="42"/>
      <x:c r="O278" s="42"/>
      <x:c r="P278" s="42"/>
      <x:c r="Q278" s="42"/>
      <x:c r="R278" s="42"/>
    </x:row>
    <x:row r="279">
      <x:c r="A279" s="42"/>
      <x:c r="B279" s="42"/>
      <x:c r="C279" s="42"/>
      <x:c r="D279" s="42"/>
      <x:c r="E279" s="42"/>
      <x:c r="F279" s="42"/>
      <x:c r="G279" s="42"/>
      <x:c r="H279" s="42"/>
      <x:c r="I279" s="42"/>
      <x:c r="J279" s="42"/>
      <x:c r="K279" s="42"/>
      <x:c r="L279" s="42"/>
      <x:c r="M279" s="42"/>
      <x:c r="N279" s="42"/>
      <x:c r="O279" s="42"/>
      <x:c r="P279" s="42"/>
      <x:c r="Q279" s="42"/>
      <x:c r="R279" s="42"/>
    </x:row>
    <x:row r="280">
      <x:c r="A280" s="42"/>
      <x:c r="B280" s="42"/>
      <x:c r="C280" s="42"/>
      <x:c r="D280" s="42"/>
      <x:c r="E280" s="42"/>
      <x:c r="F280" s="42"/>
      <x:c r="G280" s="42"/>
      <x:c r="H280" s="42"/>
      <x:c r="I280" s="42"/>
      <x:c r="J280" s="42"/>
      <x:c r="K280" s="42"/>
      <x:c r="L280" s="42"/>
      <x:c r="M280" s="42"/>
      <x:c r="N280" s="42"/>
      <x:c r="O280" s="42"/>
      <x:c r="P280" s="42"/>
      <x:c r="Q280" s="42"/>
      <x:c r="R280" s="42"/>
    </x:row>
    <x:row r="281">
      <x:c r="A281" s="42"/>
      <x:c r="B281" s="42"/>
      <x:c r="C281" s="42"/>
      <x:c r="D281" s="42"/>
      <x:c r="E281" s="42"/>
      <x:c r="F281" s="42"/>
      <x:c r="G281" s="42"/>
      <x:c r="H281" s="42"/>
      <x:c r="I281" s="42"/>
      <x:c r="J281" s="42"/>
      <x:c r="K281" s="42"/>
      <x:c r="L281" s="42"/>
      <x:c r="M281" s="42"/>
      <x:c r="N281" s="42"/>
      <x:c r="O281" s="42"/>
      <x:c r="P281" s="42"/>
      <x:c r="Q281" s="42"/>
      <x:c r="R281" s="42"/>
    </x:row>
    <x:row r="282">
      <x:c r="A282" s="42"/>
      <x:c r="B282" s="42"/>
      <x:c r="C282" s="42"/>
      <x:c r="D282" s="42"/>
      <x:c r="E282" s="42"/>
      <x:c r="F282" s="42"/>
      <x:c r="G282" s="42"/>
      <x:c r="H282" s="42"/>
      <x:c r="I282" s="42"/>
      <x:c r="J282" s="42"/>
      <x:c r="K282" s="42"/>
      <x:c r="L282" s="42"/>
      <x:c r="M282" s="42"/>
      <x:c r="N282" s="42"/>
      <x:c r="O282" s="42"/>
      <x:c r="P282" s="42"/>
      <x:c r="Q282" s="42"/>
      <x:c r="R282" s="42"/>
    </x:row>
    <x:row r="283">
      <x:c r="A283" s="42"/>
      <x:c r="B283" s="42"/>
      <x:c r="C283" s="42"/>
      <x:c r="D283" s="42"/>
      <x:c r="E283" s="42"/>
      <x:c r="F283" s="42"/>
      <x:c r="G283" s="42"/>
      <x:c r="H283" s="42"/>
      <x:c r="I283" s="42"/>
      <x:c r="J283" s="42"/>
      <x:c r="K283" s="42"/>
      <x:c r="L283" s="42"/>
      <x:c r="M283" s="42"/>
      <x:c r="N283" s="42"/>
      <x:c r="O283" s="42"/>
      <x:c r="P283" s="42"/>
      <x:c r="Q283" s="42"/>
      <x:c r="R283" s="42"/>
    </x:row>
    <x:row r="284">
      <x:c r="A284" s="42"/>
      <x:c r="B284" s="42"/>
      <x:c r="C284" s="42"/>
      <x:c r="D284" s="42"/>
      <x:c r="E284" s="42"/>
      <x:c r="F284" s="42"/>
      <x:c r="G284" s="42"/>
      <x:c r="H284" s="42"/>
      <x:c r="I284" s="42"/>
      <x:c r="J284" s="42"/>
      <x:c r="K284" s="42"/>
      <x:c r="L284" s="42"/>
      <x:c r="M284" s="42"/>
      <x:c r="N284" s="42"/>
      <x:c r="O284" s="42"/>
      <x:c r="P284" s="42"/>
      <x:c r="Q284" s="42"/>
      <x:c r="R284" s="42"/>
    </x:row>
    <x:row r="285">
      <x:c r="A285" s="42"/>
      <x:c r="B285" s="42"/>
      <x:c r="C285" s="42"/>
      <x:c r="D285" s="42"/>
      <x:c r="E285" s="42"/>
      <x:c r="F285" s="42"/>
      <x:c r="G285" s="42"/>
      <x:c r="H285" s="42"/>
      <x:c r="I285" s="42"/>
      <x:c r="J285" s="42"/>
      <x:c r="K285" s="42"/>
      <x:c r="L285" s="42"/>
      <x:c r="M285" s="42"/>
      <x:c r="N285" s="42"/>
      <x:c r="O285" s="42"/>
      <x:c r="P285" s="42"/>
      <x:c r="Q285" s="42"/>
      <x:c r="R285" s="42"/>
    </x:row>
    <x:row r="286">
      <x:c r="A286" s="42"/>
      <x:c r="B286" s="42"/>
      <x:c r="C286" s="42"/>
      <x:c r="D286" s="42"/>
      <x:c r="E286" s="42"/>
      <x:c r="F286" s="42"/>
      <x:c r="G286" s="42"/>
      <x:c r="H286" s="42"/>
      <x:c r="I286" s="42"/>
      <x:c r="J286" s="42"/>
      <x:c r="K286" s="42"/>
      <x:c r="L286" s="42"/>
      <x:c r="M286" s="42"/>
      <x:c r="N286" s="42"/>
      <x:c r="O286" s="42"/>
      <x:c r="P286" s="42"/>
      <x:c r="Q286" s="42"/>
      <x:c r="R286" s="42"/>
    </x:row>
    <x:row r="287">
      <x:c r="A287" s="42"/>
      <x:c r="B287" s="42"/>
      <x:c r="C287" s="42"/>
      <x:c r="D287" s="42"/>
      <x:c r="E287" s="42"/>
      <x:c r="F287" s="42"/>
      <x:c r="G287" s="42"/>
      <x:c r="H287" s="42"/>
      <x:c r="I287" s="42"/>
      <x:c r="J287" s="42"/>
      <x:c r="K287" s="42"/>
      <x:c r="L287" s="42"/>
      <x:c r="M287" s="42"/>
      <x:c r="N287" s="42"/>
      <x:c r="O287" s="42"/>
      <x:c r="P287" s="42"/>
      <x:c r="Q287" s="42"/>
      <x:c r="R287" s="42"/>
    </x:row>
    <x:row r="288">
      <x:c r="A288" s="42"/>
      <x:c r="B288" s="42"/>
      <x:c r="C288" s="42"/>
      <x:c r="D288" s="42"/>
      <x:c r="E288" s="42"/>
      <x:c r="F288" s="42"/>
      <x:c r="G288" s="42"/>
      <x:c r="H288" s="42"/>
      <x:c r="I288" s="42"/>
      <x:c r="J288" s="42"/>
      <x:c r="K288" s="42"/>
      <x:c r="L288" s="42"/>
      <x:c r="M288" s="42"/>
      <x:c r="N288" s="42"/>
      <x:c r="O288" s="42"/>
      <x:c r="P288" s="42"/>
      <x:c r="Q288" s="42"/>
      <x:c r="R288" s="42"/>
    </x:row>
    <x:row r="289">
      <x:c r="A289" s="42"/>
      <x:c r="B289" s="42"/>
      <x:c r="C289" s="42"/>
      <x:c r="D289" s="42"/>
      <x:c r="E289" s="42"/>
      <x:c r="F289" s="42"/>
      <x:c r="G289" s="42"/>
      <x:c r="H289" s="42"/>
      <x:c r="I289" s="42"/>
      <x:c r="J289" s="42"/>
      <x:c r="K289" s="42"/>
      <x:c r="L289" s="42"/>
      <x:c r="M289" s="42"/>
      <x:c r="N289" s="42"/>
      <x:c r="O289" s="42"/>
      <x:c r="P289" s="42"/>
      <x:c r="Q289" s="42"/>
      <x:c r="R289" s="42"/>
    </x:row>
    <x:row r="290">
      <x:c r="A290" s="42"/>
      <x:c r="B290" s="42"/>
      <x:c r="C290" s="42"/>
      <x:c r="D290" s="42"/>
      <x:c r="E290" s="42"/>
      <x:c r="F290" s="42"/>
      <x:c r="G290" s="42"/>
      <x:c r="H290" s="42"/>
      <x:c r="I290" s="42"/>
      <x:c r="J290" s="42"/>
      <x:c r="K290" s="42"/>
      <x:c r="L290" s="42"/>
      <x:c r="M290" s="42"/>
      <x:c r="N290" s="42"/>
      <x:c r="O290" s="42"/>
      <x:c r="P290" s="42"/>
      <x:c r="Q290" s="42"/>
      <x:c r="R290" s="42"/>
    </x:row>
    <x:row r="291">
      <x:c r="A291" s="42"/>
      <x:c r="B291" s="42"/>
      <x:c r="C291" s="42"/>
      <x:c r="D291" s="42"/>
      <x:c r="E291" s="42"/>
      <x:c r="F291" s="42"/>
      <x:c r="G291" s="42"/>
      <x:c r="H291" s="42"/>
      <x:c r="I291" s="42"/>
      <x:c r="J291" s="42"/>
      <x:c r="K291" s="42"/>
      <x:c r="L291" s="42"/>
      <x:c r="M291" s="42"/>
      <x:c r="N291" s="42"/>
      <x:c r="O291" s="42"/>
      <x:c r="P291" s="42"/>
      <x:c r="Q291" s="42"/>
      <x:c r="R291" s="42"/>
    </x:row>
    <x:row r="292">
      <x:c r="A292" s="42"/>
      <x:c r="B292" s="42"/>
      <x:c r="C292" s="42"/>
      <x:c r="D292" s="42"/>
      <x:c r="E292" s="42"/>
      <x:c r="F292" s="42"/>
      <x:c r="G292" s="42"/>
      <x:c r="H292" s="42"/>
      <x:c r="I292" s="42"/>
      <x:c r="J292" s="42"/>
      <x:c r="K292" s="42"/>
      <x:c r="L292" s="42"/>
      <x:c r="M292" s="42"/>
      <x:c r="N292" s="42"/>
      <x:c r="O292" s="42"/>
      <x:c r="P292" s="42"/>
      <x:c r="Q292" s="42"/>
      <x:c r="R292" s="42"/>
    </x:row>
    <x:row r="293">
      <x:c r="A293" s="42"/>
      <x:c r="B293" s="42"/>
      <x:c r="C293" s="42"/>
      <x:c r="D293" s="42"/>
      <x:c r="E293" s="42"/>
      <x:c r="F293" s="42"/>
      <x:c r="G293" s="42"/>
      <x:c r="H293" s="42"/>
      <x:c r="I293" s="42"/>
      <x:c r="J293" s="42"/>
      <x:c r="K293" s="42"/>
      <x:c r="L293" s="42"/>
      <x:c r="M293" s="42"/>
      <x:c r="N293" s="42"/>
      <x:c r="O293" s="42"/>
      <x:c r="P293" s="42"/>
      <x:c r="Q293" s="42"/>
      <x:c r="R293" s="42"/>
    </x:row>
    <x:row r="294">
      <x:c r="A294" s="42"/>
      <x:c r="B294" s="42"/>
      <x:c r="C294" s="42"/>
      <x:c r="D294" s="42"/>
      <x:c r="E294" s="42"/>
      <x:c r="F294" s="42"/>
      <x:c r="G294" s="42"/>
      <x:c r="H294" s="42"/>
      <x:c r="I294" s="42"/>
      <x:c r="J294" s="42"/>
      <x:c r="K294" s="42"/>
      <x:c r="L294" s="42"/>
      <x:c r="M294" s="42"/>
      <x:c r="N294" s="42"/>
      <x:c r="O294" s="42"/>
      <x:c r="P294" s="42"/>
      <x:c r="Q294" s="42"/>
      <x:c r="R294" s="42"/>
    </x:row>
    <x:row r="295">
      <x:c r="A295" s="42"/>
      <x:c r="B295" s="42"/>
      <x:c r="C295" s="42"/>
      <x:c r="D295" s="42"/>
      <x:c r="E295" s="42"/>
      <x:c r="F295" s="42"/>
      <x:c r="G295" s="42"/>
      <x:c r="H295" s="42"/>
      <x:c r="I295" s="42"/>
      <x:c r="J295" s="42"/>
      <x:c r="K295" s="42"/>
      <x:c r="L295" s="42"/>
      <x:c r="M295" s="42"/>
      <x:c r="N295" s="42"/>
      <x:c r="O295" s="42"/>
      <x:c r="P295" s="42"/>
      <x:c r="Q295" s="42"/>
      <x:c r="R295" s="42"/>
    </x:row>
    <x:row r="296">
      <x:c r="A296" s="42"/>
      <x:c r="B296" s="42"/>
      <x:c r="C296" s="42"/>
      <x:c r="D296" s="42"/>
      <x:c r="E296" s="42"/>
      <x:c r="F296" s="42"/>
      <x:c r="G296" s="42"/>
      <x:c r="H296" s="42"/>
      <x:c r="I296" s="42"/>
      <x:c r="J296" s="42"/>
      <x:c r="K296" s="42"/>
      <x:c r="L296" s="42"/>
      <x:c r="M296" s="42"/>
      <x:c r="N296" s="42"/>
      <x:c r="O296" s="42"/>
      <x:c r="P296" s="42"/>
      <x:c r="Q296" s="42"/>
      <x:c r="R296" s="42"/>
    </x:row>
    <x:row r="297">
      <x:c r="A297" s="42"/>
      <x:c r="B297" s="42"/>
      <x:c r="C297" s="42"/>
      <x:c r="D297" s="42"/>
      <x:c r="E297" s="42"/>
      <x:c r="F297" s="42"/>
      <x:c r="G297" s="42"/>
      <x:c r="H297" s="42"/>
      <x:c r="I297" s="42"/>
      <x:c r="J297" s="42"/>
      <x:c r="K297" s="42"/>
      <x:c r="L297" s="42"/>
      <x:c r="M297" s="42"/>
      <x:c r="N297" s="42"/>
      <x:c r="O297" s="42"/>
      <x:c r="P297" s="42"/>
      <x:c r="Q297" s="42"/>
      <x:c r="R297" s="42"/>
    </x:row>
    <x:row r="298">
      <x:c r="A298" s="42"/>
      <x:c r="B298" s="42"/>
      <x:c r="C298" s="42"/>
      <x:c r="D298" s="42"/>
      <x:c r="E298" s="42"/>
      <x:c r="F298" s="42"/>
      <x:c r="G298" s="42"/>
      <x:c r="H298" s="42"/>
      <x:c r="I298" s="42"/>
      <x:c r="J298" s="42"/>
      <x:c r="K298" s="42"/>
      <x:c r="L298" s="42"/>
      <x:c r="M298" s="42"/>
      <x:c r="N298" s="42"/>
      <x:c r="O298" s="42"/>
      <x:c r="P298" s="42"/>
      <x:c r="Q298" s="42"/>
      <x:c r="R298" s="42"/>
    </x:row>
    <x:row r="299">
      <x:c r="A299" s="42"/>
      <x:c r="B299" s="42"/>
      <x:c r="C299" s="42"/>
      <x:c r="D299" s="42"/>
      <x:c r="E299" s="42"/>
      <x:c r="F299" s="42"/>
      <x:c r="G299" s="42"/>
      <x:c r="H299" s="42"/>
      <x:c r="I299" s="42"/>
      <x:c r="J299" s="42"/>
      <x:c r="K299" s="42"/>
      <x:c r="L299" s="42"/>
      <x:c r="M299" s="42"/>
      <x:c r="N299" s="42"/>
      <x:c r="O299" s="42"/>
      <x:c r="P299" s="42"/>
      <x:c r="Q299" s="42"/>
      <x:c r="R299" s="42"/>
    </x:row>
    <x:row r="300">
      <x:c r="A300" s="43"/>
      <x:c r="B300" s="43"/>
      <x:c r="C300" s="43"/>
      <x:c r="D300" s="43"/>
      <x:c r="E300" s="43"/>
      <x:c r="F300" s="43"/>
      <x:c r="G300" s="43"/>
      <x:c r="H300" s="43"/>
      <x:c r="I300" s="43"/>
      <x:c r="J300" s="43"/>
      <x:c r="K300" s="43"/>
      <x:c r="L300" s="43"/>
      <x:c r="M300" s="43"/>
      <x:c r="N300" s="43"/>
      <x:c r="O300" s="43"/>
      <x:c r="P300" s="43"/>
      <x:c r="Q300" s="43"/>
      <x:c r="R300" s="43"/>
    </x:row>
  </x:sheetData>
  <x:mergeCells>
    <x:mergeCell ref="A1:R1"/>
    <x:mergeCell ref="A3:R3"/>
  </x:mergeCells>
  <x:conditionalFormatting sqref="L6:L300">
    <x:cfRule type="containsText" dxfId="8" priority="1" operator="containsText" text="Verified"/>
    <x:cfRule type="containsText" dxfId="9" priority="2" operator="containsText" text="Pass"/>
    <x:cfRule type="containsText" dxfId="10" priority="3" operator="containsText" text="Fail"/>
    <x:cfRule type="containsText" dxfId="11" priority="4" operator="containsText" text="Blocked"/>
  </x:conditionalFormatting>
  <x:dataValidations count="2">
    <x:dataValidation type="list" sqref="E6:E300">
      <x:formula1>"P0,P1,P2,P3"</x:formula1>
    </x:dataValidation>
    <x:dataValidation type="list" sqref="L6:L300">
      <x:formula1>"Open,Fixing,Fixed,Closed,Deferred"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8" hidden="0" customWidth="1"/>
    <x:col min="4" max="4" width="24" hidden="0" customWidth="1"/>
    <x:col min="5" max="5" width="46" hidden="0" customWidth="1"/>
    <x:col min="6" max="6" width="66" hidden="0" customWidth="1"/>
  </x:cols>
  <x:sheetData>
    <x:row r="1" ht="28" customHeight="1">
      <x:c r="A1" s="4" t="str">
        <x:v>Decisions and skill routes</x:v>
      </x:c>
      <x:c r="B1" s="4"/>
      <x:c r="C1" s="4"/>
      <x:c r="D1" s="4"/>
      <x:c r="E1" s="4"/>
      <x:c r="F1" s="4"/>
    </x:row>
    <x:row r="2">
      <x:c r="A2"/>
    </x:row>
    <x:row r="3" ht="28" customHeight="1">
      <x:c r="A3" s="7" t="str">
        <x:v>Product choices are settled here. Requested skills are recorded here with their local route and pending review state.</x:v>
      </x:c>
      <x:c r="B3" s="7"/>
      <x:c r="C3" s="7"/>
      <x:c r="D3" s="7"/>
      <x:c r="E3" s="7"/>
      <x:c r="F3" s="7"/>
    </x:row>
    <x:row r="5" ht="34" customHeight="1">
      <x:c r="A5" s="31" t="str">
        <x:v>Decision ID</x:v>
      </x:c>
      <x:c r="B5" s="32" t="str">
        <x:v>Type</x:v>
      </x:c>
      <x:c r="C5" s="32" t="str">
        <x:v>Item</x:v>
      </x:c>
      <x:c r="D5" s="32" t="str">
        <x:v>State</x:v>
      </x:c>
      <x:c r="E5" s="32" t="str">
        <x:v>Settled behavior</x:v>
      </x:c>
      <x:c r="F5" s="33" t="str">
        <x:v>Affected stories</x:v>
      </x:c>
    </x:row>
    <x:row r="6">
      <x:c r="A6" s="44" t="str">
        <x:v>DEC-01</x:v>
      </x:c>
      <x:c r="B6" s="44" t="str">
        <x:v>Product decision</x:v>
      </x:c>
      <x:c r="C6" s="44" t="str">
        <x:v>New profile source</x:v>
      </x:c>
      <x:c r="D6" s="44" t="str">
        <x:v>Settled</x:v>
      </x:c>
      <x:c r="E6" s="41" t="str">
        <x:v>Offer Capture current Dock and Empty Dock. Keep the real Dock as the primary editor.</x:v>
      </x:c>
      <x:c r="F6" s="41" t="str">
        <x:v>PRF-001, PRF-002, PRF-023</x:v>
      </x:c>
    </x:row>
    <x:row r="7">
      <x:c r="A7" s="45" t="str">
        <x:v>DEC-02</x:v>
      </x:c>
      <x:c r="B7" s="45" t="str">
        <x:v>Product decision</x:v>
      </x:c>
      <x:c r="C7" s="45" t="str">
        <x:v>Duplicate profile</x:v>
      </x:c>
      <x:c r="D7" s="45" t="str">
        <x:v>Settled</x:v>
      </x:c>
      <x:c r="E7" s="42" t="str">
        <x:v>Duplicate a profile as an independent profile. Focus filter setup stays in System Settings and does not copy.</x:v>
      </x:c>
      <x:c r="F7" s="42" t="str">
        <x:v>PRF-006</x:v>
      </x:c>
    </x:row>
    <x:row r="8">
      <x:c r="A8" s="45" t="str">
        <x:v>DEC-03</x:v>
      </x:c>
      <x:c r="B8" s="45" t="str">
        <x:v>Product decision</x:v>
      </x:c>
      <x:c r="C8" s="45" t="str">
        <x:v>Deletion and final profile guard</x:v>
      </x:c>
      <x:c r="D8" s="45" t="str">
        <x:v>Settled</x:v>
      </x:c>
      <x:c r="E8" s="42" t="str">
        <x:v>Confirm deletion. Do not delete the final remaining profile. Deleting a profile does not change the actual Dock alone.</x:v>
      </x:c>
      <x:c r="F8" s="42" t="str">
        <x:v>PRF-007, PRF-008</x:v>
      </x:c>
    </x:row>
    <x:row r="9">
      <x:c r="A9" s="45" t="str">
        <x:v>DEC-04</x:v>
      </x:c>
      <x:c r="B9" s="45" t="str">
        <x:v>Product decision</x:v>
      </x:c>
      <x:c r="C9" s="45" t="str">
        <x:v>Selection versus active</x:v>
      </x:c>
      <x:c r="D9" s="45" t="str">
        <x:v>Settled</x:v>
      </x:c>
      <x:c r="E9" s="42" t="str">
        <x:v>Selection is a pending management choice. Active means the actual Dock has reconciled successfully.</x:v>
      </x:c>
      <x:c r="F9" s="42" t="str">
        <x:v>PRF-009</x:v>
      </x:c>
    </x:row>
    <x:row r="10">
      <x:c r="A10" s="45" t="str">
        <x:v>DEC-05</x:v>
      </x:c>
      <x:c r="B10" s="45" t="str">
        <x:v>Product decision</x:v>
      </x:c>
      <x:c r="C10" s="45" t="str">
        <x:v>Menus and menu bar</x:v>
      </x:c>
      <x:c r="D10" s="45" t="str">
        <x:v>Settled</x:v>
      </x:c>
      <x:c r="E10" s="42" t="str">
        <x:v>Use native menu paths and an optional user-controlled status item. Every Open dockit and app-reopen path explicitly requests the management WindowGroup, even when Settings or another dockit window is already visible.</x:v>
      </x:c>
      <x:c r="F10" s="42" t="str">
        <x:v>MEN-001, MEN-002, MEN-003</x:v>
      </x:c>
    </x:row>
    <x:row r="11">
      <x:c r="A11" s="45" t="str">
        <x:v>DEC-06</x:v>
      </x:c>
      <x:c r="B11" s="45" t="str">
        <x:v>Product decision</x:v>
      </x:c>
      <x:c r="C11" s="45" t="str">
        <x:v>Closed-change reconciliation</x:v>
      </x:c>
      <x:c r="D11" s="45" t="str">
        <x:v>Settled</x:v>
      </x:c>
      <x:c r="E11" s="42" t="str">
        <x:v>On reopen, compare the actual Dock to the active profile, report the result, and do not overwrite inactive profiles.</x:v>
      </x:c>
      <x:c r="F11" s="42" t="str">
        <x:v>PRF-026</x:v>
      </x:c>
    </x:row>
    <x:row r="12">
      <x:c r="A12" s="45" t="str">
        <x:v>DEC-07</x:v>
      </x:c>
      <x:c r="B12" s="45" t="str">
        <x:v>Product decision</x:v>
      </x:c>
      <x:c r="C12" s="45" t="str">
        <x:v>Focus precedence</x:v>
      </x:c>
      <x:c r="D12" s="45" t="str">
        <x:v>Settled</x:v>
      </x:c>
      <x:c r="E12" s="42" t="str">
        <x:v>Apply when Focus turns on. Retain the active Dock when it turns off. Explain manual switches during Focus automation.</x:v>
      </x:c>
      <x:c r="F12" s="42" t="str">
        <x:v>FOC-004, FOC-005</x:v>
      </x:c>
    </x:row>
    <x:row r="13">
      <x:c r="A13" s="45" t="str">
        <x:v>DEC-08</x:v>
      </x:c>
      <x:c r="B13" s="45" t="str">
        <x:v>Product decision</x:v>
      </x:c>
      <x:c r="C13" s="45" t="str">
        <x:v>Focus capability gates</x:v>
      </x:c>
      <x:c r="D13" s="45" t="str">
        <x:v>Settled</x:v>
      </x:c>
      <x:c r="E13" s="42" t="str">
        <x:v>Disable unsupported or unauthorized Focus binding. Explain the manual path and preserve the Dock.</x:v>
      </x:c>
      <x:c r="F13" s="42" t="str">
        <x:v>FOC-006, REL-005</x:v>
      </x:c>
    </x:row>
    <x:row r="14">
      <x:c r="A14" s="45" t="str">
        <x:v>DEC-09</x:v>
      </x:c>
      <x:c r="B14" s="45" t="str">
        <x:v>Product decision</x:v>
      </x:c>
      <x:c r="C14" s="45" t="str">
        <x:v>Login item</x:v>
      </x:c>
      <x:c r="D14" s="45" t="str">
        <x:v>Settled</x:v>
      </x:c>
      <x:c r="E14" s="42" t="str">
        <x:v>Offer launch at login as an explicit choice for Focus automation after sign-in.</x:v>
      </x:c>
      <x:c r="F14" s="42" t="str">
        <x:v>FOC-007</x:v>
      </x:c>
    </x:row>
    <x:row r="15">
      <x:c r="A15" s="45" t="str">
        <x:v>DEC-10</x:v>
      </x:c>
      <x:c r="B15" s="45" t="str">
        <x:v>Product decision</x:v>
      </x:c>
      <x:c r="C15" s="45" t="str">
        <x:v>Import collision</x:v>
      </x:c>
      <x:c r="D15" s="45" t="str">
        <x:v>Settled</x:v>
      </x:c>
      <x:c r="E15" s="42" t="str">
        <x:v>Preview collisions and create a renamed copy by default.</x:v>
      </x:c>
      <x:c r="F15" s="42" t="str">
        <x:v>XFR-005</x:v>
      </x:c>
    </x:row>
    <x:row r="16">
      <x:c r="A16" s="45" t="str">
        <x:v>DEC-11</x:v>
      </x:c>
      <x:c r="B16" s="45" t="str">
        <x:v>Product decision</x:v>
      </x:c>
      <x:c r="C16" s="45" t="str">
        <x:v>Missing imported apps</x:v>
      </x:c>
      <x:c r="D16" s="45" t="str">
        <x:v>Settled</x:v>
      </x:c>
      <x:c r="E16" s="42" t="str">
        <x:v>Retain and visibly mark unavailable references. Applying a profile skips unavailable entries, applies every available app and spacer in saved order, reports skipped entries, and does not require a replacement preflight.</x:v>
      </x:c>
      <x:c r="F16" s="42" t="str">
        <x:v>XFR-006</x:v>
      </x:c>
    </x:row>
    <x:row r="17">
      <x:c r="A17" s="45" t="str">
        <x:v>DEC-12</x:v>
      </x:c>
      <x:c r="B17" s="45" t="str">
        <x:v>Product decision</x:v>
      </x:c>
      <x:c r="C17" s="45" t="str">
        <x:v>Recovery</x:v>
      </x:c>
      <x:c r="D17" s="45" t="str">
        <x:v>Settled</x:v>
      </x:c>
      <x:c r="E17" s="42" t="str">
        <x:v>Detect incomplete work, reconcile actual Dock state, and provide a safe recovery path.</x:v>
      </x:c>
      <x:c r="F17" s="42" t="str">
        <x:v>REL-001, REL-002</x:v>
      </x:c>
    </x:row>
    <x:row r="18">
      <x:c r="A18" s="46" t="str">
        <x:v>DEC-13</x:v>
      </x:c>
      <x:c r="B18" s="46" t="str">
        <x:v>Release decision</x:v>
      </x:c>
      <x:c r="C18" s="46" t="str">
        <x:v>Signing and notarization</x:v>
      </x:c>
      <x:c r="D18" s="46" t="str">
        <x:v>Settled</x:v>
      </x:c>
      <x:c r="E18" s="43" t="str">
        <x:v>Sign and notarize release artifacts before distribution testing.</x:v>
      </x:c>
      <x:c r="F18" s="43" t="str">
        <x:v>REL-004</x:v>
      </x:c>
    </x:row>
    <x:row r="19">
      <x:c r="A19" s="58" t="str">
        <x:v>DEC-14</x:v>
      </x:c>
      <x:c r="B19" s="58" t="str">
        <x:v>Engineering decision</x:v>
      </x:c>
      <x:c r="C19" s="58" t="str">
        <x:v>Focus process boundary, query, and extension registration</x:v>
      </x:c>
      <x:c r="D19" s="58" t="str">
        <x:v>Settled</x:v>
      </x:c>
      <x:c r="E19" s="57" t="str">
        <x:v>Register the sandboxed Focus extension as com.apple.appintents-extension under Contents/Extensions. Use EnumerableEntityQuery for the local App Group profile catalog and omit suggestedFocusFilters. The extension writes timestamped activation or Focus-off events. Only the unsandboxed main app mutates Dock preferences.</x:v>
      </x:c>
      <x:c r="F19" s="57" t="str">
        <x:v>FOC-001, FOC-002, FOC-003, FOC-004, FOC-005, FOC-006, FOC-007, FOC-008, REL-001, REL-002, REL-005</x:v>
      </x:c>
    </x:row>
    <x:row r="20">
      <x:c r="A20" s="58" t="str">
        <x:v>DEC-15</x:v>
      </x:c>
      <x:c r="B20" s="58" t="str">
        <x:v>Engineering decision</x:v>
      </x:c>
      <x:c r="C20" s="58" t="str">
        <x:v>Focus event ordering and damage isolation</x:v>
      </x:c>
      <x:c r="D20" s="58" t="str">
        <x:v>Settled</x:v>
      </x:c>
      <x:c r="E20" s="57" t="str">
        <x:v>Order Focus requests by event creation time, use the newest request only when it is newer than the active profile, treat Focus-off as no Dock mutation, quarantine malformed request files, and acknowledge every processed batch.</x:v>
      </x:c>
      <x:c r="F20" s="57" t="str">
        <x:v>FOC-003, FOC-004, FOC-005, REL-001</x:v>
      </x:c>
    </x:row>
    <x:row r="21" ht="22" customHeight="1">
      <x:c r="A21" s="51" t="str">
        <x:v>Requested skill routes</x:v>
      </x:c>
      <x:c r="B21" s="51"/>
      <x:c r="C21" s="51"/>
      <x:c r="D21" s="51"/>
      <x:c r="E21" s="51"/>
      <x:c r="F21" s="51"/>
    </x:row>
    <x:row r="22" ht="34" customHeight="1">
      <x:c r="A22" s="31" t="str">
        <x:v>Route</x:v>
      </x:c>
      <x:c r="B22" s="32" t="str">
        <x:v>Request</x:v>
      </x:c>
      <x:c r="C22" s="32" t="str">
        <x:v>Use</x:v>
      </x:c>
      <x:c r="D22" s="32" t="str">
        <x:v>Review state</x:v>
      </x:c>
      <x:c r="E22" s="32" t="str">
        <x:v>Timing / note</x:v>
      </x:c>
      <x:c r="F22" s="33" t="str">
        <x:v>Local source</x:v>
      </x:c>
    </x:row>
    <x:row r="23">
      <x:c r="A23" s="44" t="str">
        <x:v>animate</x:v>
      </x:c>
      <x:c r="B23" s="44" t="str">
        <x:v>Requested</x:v>
      </x:c>
      <x:c r="C23" s="44" t="str">
        <x:v>Animation exploration</x:v>
      </x:c>
      <x:c r="D23" s="44" t="str">
        <x:v>Implemented candidate; runtime review blocked</x:v>
      </x:c>
      <x:c r="E23" s="41" t="str">
        <x:v>Feedback crossfade 220 ms and membership/reflow spring 240 ms use explicit state. Reduce Motion removes geometry animation. Current recording is missing; nominal duration is not a smoothness pass.</x:v>
      </x:c>
      <x:c r="F23" s="41" t="str">
        <x:v>/Users/advegaf/.agents/skills/animate/SKILL.md</x:v>
      </x:c>
    </x:row>
    <x:row r="24">
      <x:c r="A24" s="45" t="str">
        <x:v>better-interface</x:v>
      </x:c>
      <x:c r="B24" s="45" t="str">
        <x:v>Requested</x:v>
      </x:c>
      <x:c r="C24" s="45" t="str">
        <x:v>Interaction and information architecture</x:v>
      </x:c>
      <x:c r="D24" s="45" t="str">
        <x:v>Applied; bounded layout review</x:v>
      </x:c>
      <x:c r="E24" s="42" t="str">
        <x:v>Current dock and 32-W names retain full text. Picker measurement includes swatch and arrows, with six-point backing padding. Pending/error feedback stays in identity region and recovery remains accessible.</x:v>
      </x:c>
      <x:c r="F24" s="42" t="str">
        <x:v>/Users/advegaf/.agents/skills/better-interface/SKILL.md</x:v>
      </x:c>
    </x:row>
    <x:row r="25">
      <x:c r="A25" s="45" t="str">
        <x:v>emil-design-eng</x:v>
      </x:c>
      <x:c r="B25" s="45" t="str">
        <x:v>Requested twice</x:v>
      </x:c>
      <x:c r="C25" s="45" t="str">
        <x:v>Design implementation review</x:v>
      </x:c>
      <x:c r="D25" s="45" t="str">
        <x:v>Applied; motion approval blocked</x:v>
      </x:c>
      <x:c r="E25" s="42" t="str">
        <x:v>Compact fixed layout, flat consistent controls and truthful single-slot status feedback. Membership and pointer transitions avoid delayed choreography. See flat-feedback-motion-review.md.</x:v>
      </x:c>
      <x:c r="F25" s="42" t="str">
        <x:v>/Users/advegaf/.agents/skills/emil-design-eng/SKILL.md</x:v>
      </x:c>
    </x:row>
    <x:row r="26">
      <x:c r="A26" s="45" t="str">
        <x:v>apple-design</x:v>
      </x:c>
      <x:c r="B26" s="45" t="str">
        <x:v>Requested</x:v>
      </x:c>
      <x:c r="C26" s="45" t="str">
        <x:v>macOS-native design guidance</x:v>
      </x:c>
      <x:c r="D26" s="45" t="str">
        <x:v>Applied; native material candidate pending</x:v>
      </x:c>
      <x:c r="E26" s="42" t="str">
        <x:v>Keep native Material.regular in light and trial native Material.ultraThick in dark. One ContentView rule replaces duplicate scene/fallback declarations. No custom blur layers or visibility workaround. Bare-host support remains unverified.</x:v>
      </x:c>
      <x:c r="F26" s="42" t="str">
        <x:v>/Users/advegaf/.agents/skills/apple-design/SKILL.md</x:v>
      </x:c>
    </x:row>
    <x:row r="27">
      <x:c r="A27" s="45" t="str">
        <x:v>improve-animations</x:v>
      </x:c>
      <x:c r="B27" s="45" t="str">
        <x:v>Requested</x:v>
      </x:c>
      <x:c r="C27" s="45" t="str">
        <x:v>Motion refinement</x:v>
      </x:c>
      <x:c r="D27" s="45" t="str">
        <x:v>Implemented candidate; runtime review blocked</x:v>
      </x:c>
      <x:c r="E27" s="42" t="str">
        <x:v>Insertion/removal transitions are scoped to membership changes. Same-membership keyboard reorder stays immediate. Actual rapid reversals and interruption remain unverified.</x:v>
      </x:c>
      <x:c r="F27" s="42" t="str">
        <x:v>/Users/advegaf/.agents/skills/improve-animations/SKILL.md</x:v>
      </x:c>
    </x:row>
    <x:row r="28">
      <x:c r="A28" s="45" t="str">
        <x:v>review-animations</x:v>
      </x:c>
      <x:c r="B28" s="45" t="str">
        <x:v>Requested</x:v>
      </x:c>
      <x:c r="C28" s="45" t="str">
        <x:v>Motion review</x:v>
      </x:c>
      <x:c r="D28" s="45" t="str">
        <x:v>Reference review partial; current runtime motion review blocked</x:v>
      </x:c>
      <x:c r="E28" s="42" t="str">
        <x:v>Individual review now covers 871 original frames. Added spacer removal, status crossfade and profile-menu opening observations. No current animation pass is inferred from screenshots or unit tests.</x:v>
      </x:c>
      <x:c r="F28" s="42" t="str">
        <x:v>/Users/advegaf/.claude/skills/review-animations/SKILL.md</x:v>
      </x:c>
    </x:row>
    <x:row r="29">
      <x:c r="A29" s="45" t="str">
        <x:v>find-animation-opportunities</x:v>
      </x:c>
      <x:c r="B29" s="45" t="str">
        <x:v>Requested</x:v>
      </x:c>
      <x:c r="C29" s="45" t="str">
        <x:v>Motion opportunity scan</x:v>
      </x:c>
      <x:c r="D29" s="45" t="str">
        <x:v>Applied to feedback inventory</x:v>
      </x:c>
      <x:c r="E29" s="42" t="str">
        <x:v>Identified pending/applying feedback, insertion/removal and hover neighbor reflow. Kept keyboard reorder immediate and did not add window tint, decorative morphing or completion delays.</x:v>
      </x:c>
      <x:c r="F29" s="42" t="str">
        <x:v>/Users/advegaf/.agents/skills/find-animation-opportunities/SKILL.md</x:v>
      </x:c>
    </x:row>
    <x:row r="30">
      <x:c r="A30" s="45" t="str">
        <x:v>grill-me</x:v>
      </x:c>
      <x:c r="B30" s="45" t="str">
        <x:v>Requested</x:v>
      </x:c>
      <x:c r="C30" s="45" t="str">
        <x:v>Requirement challenge</x:v>
      </x:c>
      <x:c r="D30" s="45" t="str">
        <x:v>Executed, decision pending</x:v>
      </x:c>
      <x:c r="E30" s="42" t="str">
        <x:v>The product challenge isolated the titlebar separator as a clear mismatch and the whole-window profile tint as a conflicting direction that needs an explicit answer.</x:v>
      </x:c>
      <x:c r="F30" s="42" t="str">
        <x:v>/Users/advegaf/.codex/skills/grill-me/SKILL.md</x:v>
      </x:c>
    </x:row>
    <x:row r="31">
      <x:c r="A31" s="45" t="str">
        <x:v>autoplan</x:v>
      </x:c>
      <x:c r="B31" s="45" t="str">
        <x:v>Requested</x:v>
      </x:c>
      <x:c r="C31" s="45" t="str">
        <x:v>Implementation planning</x:v>
      </x:c>
      <x:c r="D31" s="45" t="str">
        <x:v>Partial coverage review; full audit unexecuted</x:v>
      </x:c>
      <x:c r="E31" s="42" t="str">
        <x:v>Approved failure paths and release gates guided the work. No complete autoplan audit artifact exists. Correct the previous Executed label rather than claiming that reading or planning completed runtime audit.</x:v>
      </x:c>
      <x:c r="F31" s="42" t="str">
        <x:v>/Users/advegaf/.claude/skills/gstack/autoplan/SKILL.md</x:v>
      </x:c>
    </x:row>
    <x:row r="32">
      <x:c r="A32" s="45" t="str">
        <x:v>make-interfaces-feel-better</x:v>
      </x:c>
      <x:c r="B32" s="45" t="str">
        <x:v>Requested</x:v>
      </x:c>
      <x:c r="C32" s="45" t="str">
        <x:v>Interaction polish</x:v>
      </x:c>
      <x:c r="D32" s="45" t="str">
        <x:v>Executed, full sweep pending</x:v>
      </x:c>
      <x:c r="E32" s="42" t="str">
        <x:v>Drove the missing-app row cleanup, import preview compaction, deletion copy, and reconciliation action clarity.</x:v>
      </x:c>
      <x:c r="F32" s="42" t="str">
        <x:v>/Users/advegaf/.agents/skills/make-interfaces-feel-better/SKILL.md</x:v>
      </x:c>
    </x:row>
    <x:row r="33">
      <x:c r="A33" s="45" t="str">
        <x:v>delegate</x:v>
      </x:c>
      <x:c r="B33" s="45" t="str">
        <x:v>Requested</x:v>
      </x:c>
      <x:c r="C33" s="45" t="str">
        <x:v>Subtask delegation</x:v>
      </x:c>
      <x:c r="D33" s="45" t="str">
        <x:v>Applied; one-file fixes directly reviewed and retested</x:v>
      </x:c>
      <x:c r="E33" s="42" t="str">
        <x:v>Assigned only DockDetailsView.swift to the existing reference editor agent. Root read each change, controlled every live repro, rebuilt and ran all hosted tests.</x:v>
      </x:c>
      <x:c r="F33" s="42" t="str">
        <x:v>/Users/advegaf/.claude/skills/delegate/SKILL.md</x:v>
      </x:c>
    </x:row>
    <x:row r="34">
      <x:c r="A34" s="45" t="str">
        <x:v>ios-design-review</x:v>
      </x:c>
      <x:c r="B34" s="45" t="str">
        <x:v>Requested</x:v>
      </x:c>
      <x:c r="C34" s="45" t="str">
        <x:v>Platform review</x:v>
      </x:c>
      <x:c r="D34" s="45" t="str">
        <x:v>Applied to macOS, full sweep pending</x:v>
      </x:c>
      <x:c r="E34" s="42" t="str">
        <x:v>Applied its state clarity, hierarchy, tap-target equivalent, accessibility, and screenshot review criteria to macOS. iPhone transport instructions were excluded.</x:v>
      </x:c>
      <x:c r="F34" s="42" t="str">
        <x:v>/Users/advegaf/.claude/skills/gstack/ios-design-review/SKILL.md</x:v>
      </x:c>
    </x:row>
    <x:row r="35">
      <x:c r="A35" s="45" t="str">
        <x:v>design-consultation</x:v>
      </x:c>
      <x:c r="B35" s="45" t="str">
        <x:v>Requested</x:v>
      </x:c>
      <x:c r="C35" s="45" t="str">
        <x:v>Design consultation</x:v>
      </x:c>
      <x:c r="D35" s="45" t="str">
        <x:v>Executed</x:v>
      </x:c>
      <x:c r="E35" s="42" t="str">
        <x:v>Resolved the real Dock as editor, separate selected and active states, native menu paths, and System Settings ownership of Focus configuration.</x:v>
      </x:c>
      <x:c r="F35" s="42" t="str">
        <x:v>/Users/advegaf/.claude/skills/gstack/design-consultation/SKILL.md</x:v>
      </x:c>
    </x:row>
    <x:row r="36">
      <x:c r="A36" s="45" t="str">
        <x:v>design-review</x:v>
      </x:c>
      <x:c r="B36" s="45" t="str">
        <x:v>Requested</x:v>
      </x:c>
      <x:c r="C36" s="45" t="str">
        <x:v>Design review</x:v>
      </x:c>
      <x:c r="D36" s="45" t="str">
        <x:v>Executed bounded screenshots; complete comparison pending</x:v>
      </x:c>
      <x:c r="E36" s="42" t="str">
        <x:v>Direct light/dark editor, long-name pending, picker and about captures are linked in runs. 751 reference frames individually reviewed. No 1:1 or complete runtime review claim.</x:v>
      </x:c>
      <x:c r="F36" s="42" t="str">
        <x:v>/Users/advegaf/.claude/skills/gstack/design-review/SKILL.md</x:v>
      </x:c>
    </x:row>
    <x:row r="37">
      <x:c r="A37" s="45" t="str">
        <x:v>ui-skills</x:v>
      </x:c>
      <x:c r="B37" s="45" t="str">
        <x:v>Requested</x:v>
      </x:c>
      <x:c r="C37" s="45" t="str">
        <x:v>UI implementation guidance</x:v>
      </x:c>
      <x:c r="D37" s="45" t="str">
        <x:v>Executed, accessibility sweep pending</x:v>
      </x:c>
      <x:c r="E37" s="42" t="str">
        <x:v>Applied standard control, sizing, focus-order, sheet, toolbar, and list guidance to the implemented macOS surfaces.</x:v>
      </x:c>
      <x:c r="F37" s="42" t="str">
        <x:v>/Users/advegaf/.claude/skills/ui-skills/SKILL.md</x:v>
      </x:c>
    </x:row>
    <x:row r="38">
      <x:c r="A38" s="45" t="str">
        <x:v>better-ui</x:v>
      </x:c>
      <x:c r="B38" s="45" t="str">
        <x:v>Requested</x:v>
      </x:c>
      <x:c r="C38" s="45" t="str">
        <x:v>UI quality review</x:v>
      </x:c>
      <x:c r="D38" s="45" t="str">
        <x:v>Executed, full sweep pending</x:v>
      </x:c>
      <x:c r="E38" s="42" t="str">
        <x:v>Reviewed native hierarchy, content density, safe defaults, feedback, and error states in the recorded dark-appearance flows.</x:v>
      </x:c>
      <x:c r="F38" s="42" t="str">
        <x:v>/Users/advegaf/.agents/skills/better-ui/SKILL.md</x:v>
      </x:c>
    </x:row>
    <x:row r="39">
      <x:c r="A39" s="45" t="str">
        <x:v>ios-qa</x:v>
      </x:c>
      <x:c r="B39" s="45" t="str">
        <x:v>Requested</x:v>
      </x:c>
      <x:c r="C39" s="45" t="str">
        <x:v>Runtime QA</x:v>
      </x:c>
      <x:c r="D39" s="45" t="str">
        <x:v>Applied to macOS; details keyboard defect fixed and retested</x:v>
      </x:c>
      <x:c r="E39" s="42" t="str">
        <x:v>Logged failures before fixes, inspected each before and after screenshot, repeated the same input sequence in both themes and preserved explicit limits for VoiceOver, pointer drag and recordings.</x:v>
      </x:c>
      <x:c r="F39" s="42" t="str">
        <x:v>/Users/advegaf/.claude/skills/gstack/ios-qa/SKILL.md</x:v>
      </x:c>
    </x:row>
    <x:row r="40">
      <x:c r="A40" s="45" t="str">
        <x:v>better-colors</x:v>
      </x:c>
      <x:c r="B40" s="45" t="str">
        <x:v>Requested</x:v>
      </x:c>
      <x:c r="C40" s="45" t="str">
        <x:v>Color review</x:v>
      </x:c>
      <x:c r="D40" s="45" t="str">
        <x:v>Applied; bounded rendered contrast retest passed</x:v>
      </x:c>
      <x:c r="E40" s="42" t="str">
        <x:v>Measured both actual focused themes. Secondary activation status failed in each, so important status now uses primary semantic foreground. Final samples are 5.724973:1 light and 5.564541:1 dark. Complete appearance coverage remains unverified.</x:v>
      </x:c>
      <x:c r="F40" s="42" t="str">
        <x:v>/Users/advegaf/.agents/skills/better-colors/SKILL.md</x:v>
      </x:c>
    </x:row>
    <x:row r="41">
      <x:c r="A41" s="45" t="str">
        <x:v>advisor</x:v>
      </x:c>
      <x:c r="B41" s="45" t="str">
        <x:v>Requested</x:v>
      </x:c>
      <x:c r="C41" s="45" t="str">
        <x:v>Advisor route</x:v>
      </x:c>
      <x:c r="D41" s="45" t="str">
        <x:v>Missing</x:v>
      </x:c>
      <x:c r="E41" s="42" t="str">
        <x:v>No installed advisor skill was found. Do not mark execution complete.</x:v>
      </x:c>
      <x:c r="F41" s="42" t="str">
        <x:v>Missing</x:v>
      </x:c>
    </x:row>
    <x:row r="42">
      <x:c r="A42" s="45" t="str">
        <x:v>unslop</x:v>
      </x:c>
      <x:c r="B42" s="45" t="str">
        <x:v>Requested</x:v>
      </x:c>
      <x:c r="C42" s="45" t="str">
        <x:v>Writing quality</x:v>
      </x:c>
      <x:c r="D42" s="45" t="str">
        <x:v>Active</x:v>
      </x:c>
      <x:c r="E42" s="42" t="str">
        <x:v>Plain lowercase authored UI, direct audit prose and no unsupported completion claims.</x:v>
      </x:c>
      <x:c r="F42" s="42" t="str">
        <x:v>/Users/advegaf/.claude/skills/unslop/SKILL.md</x:v>
      </x:c>
    </x:row>
    <x:row r="43">
      <x:c r="A43" s="45" t="str">
        <x:v>poteto-mode</x:v>
      </x:c>
      <x:c r="B43" s="45" t="str">
        <x:v>Requested</x:v>
      </x:c>
      <x:c r="C43" s="45" t="str">
        <x:v>Agent operating mode</x:v>
      </x:c>
      <x:c r="D43" s="45" t="str">
        <x:v>Applied; reproduced defect and same-surface candidate tests</x:v>
      </x:c>
      <x:c r="E43" s="42" t="str">
        <x:v>Kept each correction tied to observed evidence. Focusability restored key delivery; separate navigation and repeated-reorder captures established the two visibility gaps before their corrections.</x:v>
      </x:c>
      <x:c r="F43" s="42" t="str">
        <x:v>/Users/advegaf/.agents/skills/poteto-mode/SKILL.md</x:v>
      </x:c>
    </x:row>
    <x:row r="44">
      <x:c r="A44" s="46" t="str">
        <x:v>ponytail</x:v>
      </x:c>
      <x:c r="B44" s="46" t="str">
        <x:v>Requested</x:v>
      </x:c>
      <x:c r="C44" s="46" t="str">
        <x:v>Native and standard-library implementation</x:v>
      </x:c>
      <x:c r="D44" s="46" t="str">
        <x:v>Active</x:v>
      </x:c>
      <x:c r="E44" s="43" t="str">
        <x:v>SwiftUI, AppKit and native Icon Composer only. No third-party runtime dependency added.</x:v>
      </x:c>
      <x:c r="F44" s="43" t="str">
        <x:v>/Users/advegaf/.claude/plugins/cache/ponytail/ponytail/4.9.0/skills/ponytail/SKILL.md</x:v>
      </x:c>
    </x:row>
    <x:row r="45">
      <x:c r="A45" s="58" t="str">
        <x:v>imagegen</x:v>
      </x:c>
      <x:c r="B45" s="58" t="str">
        <x:v>Requested</x:v>
      </x:c>
      <x:c r="C45" s="58" t="str">
        <x:v>Original app icon generation</x:v>
      </x:c>
      <x:c r="D45" s="58" t="str">
        <x:v>Prior generation complete; native packaging reviewed</x:v>
      </x:c>
      <x:c r="E45" s="57" t="str">
        <x:v>No new generated concept in this unit. The selected approved master is preserved byte-for-byte and packaged as a native icon. Earlier generation and rejected artifacts remain historical evidence.</x:v>
      </x:c>
      <x:c r="F45" s="57" t="str">
        <x:v>/Users/advegaf/.codex/skills/.system/imagegen/SKILL.md</x:v>
      </x:c>
    </x:row>
    <x:row r="46">
      <x:c r="A46" s="58" t="str">
        <x:v>humanizer</x:v>
      </x:c>
      <x:c r="B46" s="58" t="str">
        <x:v>Requested</x:v>
      </x:c>
      <x:c r="C46" s="58" t="str">
        <x:v>standing writing pass</x:v>
      </x:c>
      <x:c r="D46" s="58" t="str">
        <x:v>Active</x:v>
      </x:c>
      <x:c r="E46" s="57" t="str">
        <x:v>Plain evidence summaries; preserve user names and system paths. No hype or fabricated visual approval.</x:v>
      </x:c>
      <x:c r="F46" s="57" t="str">
        <x:v>/Users/advegaf/.codex/skills/humanizer/SKILL.md</x:v>
      </x:c>
    </x:row>
    <x:row r="47" ht="22" customHeight="1">
      <x:c r="A47" s="65" t="str">
        <x:v>Execution decision audit</x:v>
      </x:c>
      <x:c r="B47" s="65"/>
      <x:c r="C47" s="65"/>
      <x:c r="D47" s="65"/>
      <x:c r="E47" s="65"/>
      <x:c r="F47" s="65"/>
    </x:row>
    <x:row r="48" ht="34" customHeight="1">
      <x:c r="A48" s="77" t="str">
        <x:v>Decision ID</x:v>
      </x:c>
      <x:c r="B48" s="78" t="str">
        <x:v>Type</x:v>
      </x:c>
      <x:c r="C48" s="78" t="str">
        <x:v>Item</x:v>
      </x:c>
      <x:c r="D48" s="78" t="str">
        <x:v>State</x:v>
      </x:c>
      <x:c r="E48" s="78" t="str">
        <x:v>Settled behavior</x:v>
      </x:c>
      <x:c r="F48" s="79" t="str">
        <x:v>Affected stories</x:v>
      </x:c>
    </x:row>
    <x:row r="49">
      <x:c r="A49" s="58" t="str">
        <x:v>DEC-16</x:v>
      </x:c>
      <x:c r="B49" s="58" t="str">
        <x:v>Execution decision</x:v>
      </x:c>
      <x:c r="C49" s="58" t="str">
        <x:v>saved and applied layouts</x:v>
      </x:c>
      <x:c r="D49" s="58" t="str">
        <x:v>Approved</x:v>
      </x:c>
      <x:c r="E49" s="57" t="str">
        <x:v>Store each profile's complete saved ordered Dock layout separately from the active record's optional last verified applied layout. Metadata and item UUIDs do not define layout equality.</x:v>
      </x:c>
      <x:c r="F49" s="57" t="str">
        <x:v>PRF-009, PRF-010, PRF-025, PRF-030, PRF-031, PRF-032</x:v>
      </x:c>
    </x:row>
    <x:row r="50">
      <x:c r="A50" s="58" t="str">
        <x:v>DEC-17</x:v>
      </x:c>
      <x:c r="B50" s="58" t="str">
        <x:v>Execution decision</x:v>
      </x:c>
      <x:c r="C50" s="58" t="str">
        <x:v>single-page in-app editor</x:v>
      </x:c>
      <x:c r="D50" s="58" t="str">
        <x:v>Approved</x:v>
      </x:c>
      <x:c r="E50" s="57" t="str">
        <x:v>Edit any selected saved profile in the app, support mixed multi-selection and ordered group actions, save automatically, and require explicit apply before changing the real Dock. Use no editor sidebar.</x:v>
      </x:c>
      <x:c r="F50" s="57" t="str">
        <x:v>PRF-018, PRF-019, PRF-020, PRF-021, PRF-022, PRF-023, PRF-030, PRF-033, PRF-034, MEN-005</x:v>
      </x:c>
    </x:row>
    <x:row r="51">
      <x:c r="A51" s="58" t="str">
        <x:v>DEC-18</x:v>
      </x:c>
      <x:c r="B51" s="58" t="str">
        <x:v>Execution decision</x:v>
      </x:c>
      <x:c r="C51" s="58" t="str">
        <x:v>external Dock conflicts</x:v>
      </x:c>
      <x:c r="D51" s="58" t="str">
        <x:v>Approved</x:v>
      </x:c>
      <x:c r="E51" s="57" t="str">
        <x:v>Compare the accepted applied snapshot, saved draft, and observed Dock. Preserve drafts, require a reviewed snapshot for explicit replacement, reject stale approval, and retain unavailable saved apps during normal autosave.</x:v>
      </x:c>
      <x:c r="F51" s="57" t="str">
        <x:v>PRF-024, PRF-025, PRF-026, PRF-032, REL-006, REL-008</x:v>
      </x:c>
    </x:row>
    <x:row r="52">
      <x:c r="A52" s="58" t="str">
        <x:v>DEC-19</x:v>
      </x:c>
      <x:c r="B52" s="58" t="str">
        <x:v>Execution decision</x:v>
      </x:c>
      <x:c r="C52" s="58" t="str">
        <x:v>local library v2 migration</x:v>
      </x:c>
      <x:c r="D52" s="58" t="str">
        <x:v>Approved</x:v>
      </x:c>
      <x:c r="E52" s="57" t="str">
        <x:v>Preserve v1 profiles, migrate locally without Dock mutation, infer an applied baseline only from a matching availability-projected layout, and otherwise leave it unknown for reconciliation.</x:v>
      </x:c>
      <x:c r="F52" s="57" t="str">
        <x:v>PRV-001, PRF-027, REL-002, REL-007</x:v>
      </x:c>
    </x:row>
    <x:row r="53">
      <x:c r="A53" s="58" t="str">
        <x:v>DEC-20</x:v>
      </x:c>
      <x:c r="B53" s="58" t="str">
        <x:v>Execution decision</x:v>
      </x:c>
      <x:c r="C53" s="58" t="str">
        <x:v>one-page settings</x:v>
      </x:c>
      <x:c r="D53" s="58" t="str">
        <x:v>Approved</x:v>
      </x:c>
      <x:c r="E53" s="57" t="str">
        <x:v>Match the reference video's compact direct hierarchy with one resizable, scrollable native Settings page. Do not use a Settings navigation sidebar.</x:v>
      </x:c>
      <x:c r="F53" s="57" t="str">
        <x:v>MEN-005, SET-001, SET-002, SET-003, SET-004, UX-001</x:v>
      </x:c>
    </x:row>
    <x:row r="54">
      <x:c r="A54" s="58" t="str">
        <x:v>DEC-21</x:v>
      </x:c>
      <x:c r="B54" s="58" t="str">
        <x:v>Execution decision</x:v>
      </x:c>
      <x:c r="C54" s="58" t="str">
        <x:v>lowercase authored text</x:v>
      </x:c>
      <x:c r="D54" s="58" t="str">
        <x:v>Approved</x:v>
      </x:c>
      <x:c r="E54" s="57" t="str">
        <x:v>Write all app-authored interface and release text in lowercase while preserving the real casing of user data, system-provided names, identifiers, paths, versions, and the generic Dock name.</x:v>
      </x:c>
      <x:c r="F54" s="57" t="str">
        <x:v>BRD-001, MEN-004, UX-001</x:v>
      </x:c>
    </x:row>
    <x:row r="55">
      <x:c r="A55" s="58" t="str">
        <x:v>DEC-22</x:v>
      </x:c>
      <x:c r="B55" s="58" t="str">
        <x:v>Execution decision</x:v>
      </x:c>
      <x:c r="C55" s="58" t="str">
        <x:v>first white and pastel icon concept</x:v>
      </x:c>
      <x:c r="D55" s="58" t="str">
        <x:v>Approved</x:v>
      </x:c>
      <x:c r="E55" s="57" t="str">
        <x:v>Use the first generated dockling concept with a warm white character and pastel blue and aqua shelf, then derive a separate bold one-color menu bar template from it.</x:v>
      </x:c>
      <x:c r="F55" s="57" t="str">
        <x:v>SET-004, MEN-007, UX-002</x:v>
      </x:c>
    </x:row>
    <x:row r="56">
      <x:c r="A56" s="58" t="str">
        <x:v>DEC-23</x:v>
      </x:c>
      <x:c r="B56" s="58" t="str">
        <x:v>Execution decision</x:v>
      </x:c>
      <x:c r="C56" s="58" t="str">
        <x:v>Dock restart measurements and selection gate</x:v>
      </x:c>
      <x:c r="D56" s="58" t="str">
        <x:v>Approved</x:v>
      </x:c>
      <x:c r="E56" s="57" t="str">
        <x:v>Keep reviewed wallpaper blackout, first-return delay, and settling delay as separate frame-based metrics, distinct from total operation elapsed. Require a wallpaper-blackout median upper bound at or below 280 milliseconds, p95 upper bound below 450 milliseconds, no baseline regression in return or settling bounds, and every reliability invariant. Missing or inconclusive evidence retains forced termination.</x:v>
      </x:c>
      <x:c r="F56" s="57" t="str">
        <x:v>MOT-001, MOT-002, MOT-003, MOT-004</x:v>
      </x:c>
    </x:row>
    <x:row r="57">
      <x:c r="A57" s="58" t="str">
        <x:v>DEC-24</x:v>
      </x:c>
      <x:c r="B57" s="58" t="str">
        <x:v>Execution decision</x:v>
      </x:c>
      <x:c r="C57" s="58" t="str">
        <x:v>explicit apply remains available</x:v>
      </x:c>
      <x:c r="D57" s="58" t="str">
        <x:v>Approved</x:v>
      </x:c>
      <x:c r="E57" s="57" t="str">
        <x:v>Keep apply available for the selected profile even when its saved layout matches the accepted applied layout. Every explicit apply compares the current real Dock, and an equivalent prepared layout skips the restart while still completing as a verified no-op.</x:v>
      </x:c>
      <x:c r="F57" s="57" t="str">
        <x:v>PRF-009, PRF-010, PRF-032</x:v>
      </x:c>
    </x:row>
    <x:row r="58">
      <x:c r="A58" s="58" t="str">
        <x:v>DEC-25</x:v>
      </x:c>
      <x:c r="B58" s="58" t="str">
        <x:v>Execution correction</x:v>
      </x:c>
      <x:c r="C58" s="58" t="str">
        <x:v>background blackout definition</x:v>
      </x:c>
      <x:c r="D58" s="58" t="str">
        <x:v>Approved</x:v>
      </x:c>
      <x:c r="E58" s="57" t="str">
        <x:v>Count blackout only when the expected wallpaper or background itself disappears or becomes a black or flat placeholder during Dock restart. Normal wallpaper with the Dock absent is not blackout and contributes only to first-return and settling delay. Keep the earlier record as audit history and use this correction for all new annotations and strategy gates.</x:v>
      </x:c>
      <x:c r="F58" s="57" t="str">
        <x:v>MOT-001, MOT-004</x:v>
      </x:c>
    </x:row>
    <x:row r="59">
      <x:c r="A59" s="58" t="str">
        <x:v>DEC-26</x:v>
      </x:c>
      <x:c r="B59" s="58" t="str">
        <x:v>Execution decision</x:v>
      </x:c>
      <x:c r="C59" s="58" t="str">
        <x:v>native glass only in fixed chrome</x:v>
      </x:c>
      <x:c r="D59" s="58" t="str">
        <x:v>Approved</x:v>
      </x:c>
      <x:c r="E59" s="57" t="str">
        <x:v>Apply native Liquid Glass behavior to fixed window chrome and fixed controls only. Keep ordinary editor and settings content on standard adaptive scrolling surfaces. Preserve readable system fallbacks for Reduced Transparency and Increased Contrast, and never place scroll content behind fixed controls.</x:v>
      </x:c>
      <x:c r="F59" s="57" t="str">
        <x:v>MEN-005, MEN-006, SET-001, UX-001, UX-003</x:v>
      </x:c>
    </x:row>
    <x:row r="60">
      <x:c r="A60" s="58" t="str">
        <x:v>DEC-27</x:v>
      </x:c>
      <x:c r="B60" s="58" t="str">
        <x:v>Execution decision</x:v>
      </x:c>
      <x:c r="C60" s="58" t="str">
        <x:v>full reference video frame audit</x:v>
      </x:c>
      <x:c r="D60" s="58" t="str">
        <x:v>Approved</x:v>
      </x:c>
      <x:c r="E60" s="57" t="str">
        <x:v>Use all 2,374 decoded reference frames and their original presentation timestamps for comparison. Do not assume constant frame rate, drop frames, interpolate timing, or treat a contact sheet as complete evidence. Record intentional native differences and keep real Dock restart timing as a separate release gate.</x:v>
      </x:c>
      <x:c r="F60" s="57" t="str">
        <x:v>MOT-001, MOT-002, MOT-003, MOT-005, UX-003</x:v>
      </x:c>
    </x:row>
    <x:row r="61">
      <x:c r="A61" s="58" t="str">
        <x:v>DEC-28</x:v>
      </x:c>
      <x:c r="B61" s="58" t="str">
        <x:v>Execution decision</x:v>
      </x:c>
      <x:c r="C61" s="58" t="str">
        <x:v>Profile identity palette</x:v>
      </x:c>
      <x:c r="D61" s="58" t="str">
        <x:v>Settled</x:v>
      </x:c>
      <x:c r="E61" s="57" t="str">
        <x:v>Use a restrained equal-lightness OKLCH palette for decorative profile identity marks, preserve saved color identifiers and the user's action accent, and require separate evidence for action text contrast and every native surface.</x:v>
      </x:c>
      <x:c r="F61" s="57" t="str">
        <x:v>PRF-004, PRF-023, MEN-005, UX-003</x:v>
      </x:c>
    </x:row>
    <x:row r="62">
      <x:c r="A62" s="58" t="str">
        <x:v>DEC-29</x:v>
      </x:c>
      <x:c r="B62" s="58" t="str">
        <x:v>Product direction conflict</x:v>
      </x:c>
      <x:c r="C62" s="58" t="str">
        <x:v>Whole-window profile tint</x:v>
      </x:c>
      <x:c r="D62" s="58" t="str">
        <x:v>Pending user direction</x:v>
      </x:c>
      <x:c r="E62" s="57" t="str">
        <x:v>The latest request for the exact reference style may conflict with the earlier approved rule against whole-window profile tint. Do not change that tint behavior until the user confirms whether the latest direction supersedes the earlier decision. The titlebar separator mismatch can be corrected independently.</x:v>
      </x:c>
      <x:c r="F62" s="57" t="str">
        <x:v>PRF-023, MEN-005, UX-003, MOT-005</x:v>
      </x:c>
    </x:row>
    <x:row r="63">
      <x:c r="A63" s="58" t="str">
        <x:v>DEC-30</x:v>
      </x:c>
      <x:c r="B63" s="58" t="str">
        <x:v>Execution decision</x:v>
      </x:c>
      <x:c r="C63" s="58" t="str">
        <x:v>reference-matched fixed editor</x:v>
      </x:c>
      <x:c r="D63" s="58" t="str">
        <x:v>Settled</x:v>
      </x:c>
      <x:c r="E63" s="57" t="str">
        <x:v>The latest approved plan supersedes resizable editor geometry and inline details. Use a 620 by 252 point outer editor, native traffic lights without separator, horizontal preview scrolling only, two translucent preview layers, neutral rounded actions, and dock details in a separate sheet. Settings remains a scrolling page. Preserve older decisions as audit history.</x:v>
      </x:c>
      <x:c r="F63" s="57" t="str">
        <x:v>PRF-023, PRF-028, PRF-034, UX-001, UX-003</x:v>
      </x:c>
    </x:row>
    <x:row r="64">
      <x:c r="A64" s="58" t="str">
        <x:v>DEC-31</x:v>
      </x:c>
      <x:c r="B64" s="58" t="str">
        <x:v>Execution decision</x:v>
      </x:c>
      <x:c r="C64" s="58" t="str">
        <x:v>reference identity colors</x:v>
      </x:c>
      <x:c r="D64" s="58" t="str">
        <x:v>Settled</x:v>
      </x:c>
      <x:c r="E64" s="57" t="str">
        <x:v>Supersedes DEC-28 equal-lightness palette. Blue, green and purple are sampled from original video frame 1100. Other chromatic entries are explicitly identified companion colors. Remove decorative swatch outlines, retain a soft white squircle underlay, and preserve names and checkmarks so color is not the only cue. Audit: artifacts/ui/reference-palette-audit.md.</x:v>
      </x:c>
      <x:c r="F64" s="57" t="str">
        <x:v>PRF-004, PRF-023, MEN-005, UX-003</x:v>
      </x:c>
    </x:row>
    <x:row r="65">
      <x:c r="A65" s="58" t="str">
        <x:v>DEC-32</x:v>
      </x:c>
      <x:c r="B65" s="58" t="str">
        <x:v>Execution decision</x:v>
      </x:c>
      <x:c r="C65" s="58" t="str">
        <x:v>approved deterministic icon mask</x:v>
      </x:c>
      <x:c r="D65" s="58" t="str">
        <x:v>Settled</x:v>
      </x:c>
      <x:c r="E65" s="57" t="str">
        <x:v>The user approved a deterministic exterior mask of the selected white-and-pastel mascot. Validate the entire transparent contour and unchanged opaque interior before production replacement. The menu bar uses a separate miniature Dock with readable tiles. Failed generation attempts remain historical evidence.</x:v>
      </x:c>
      <x:c r="F65" s="57" t="str">
        <x:v>UX-002, MEN-007, SET-004</x:v>
      </x:c>
    </x:row>
    <x:row r="66">
      <x:c r="A66" s="58" t="str">
        <x:v>DEC-33</x:v>
      </x:c>
      <x:c r="B66" s="58" t="str">
        <x:v>Execution decision</x:v>
      </x:c>
      <x:c r="C66" s="58" t="str">
        <x:v>flat reference controls and adaptive identity</x:v>
      </x:c>
      <x:c r="D66" s="58" t="str">
        <x:v>Settled</x:v>
      </x:c>
      <x:c r="E66" s="57" t="str">
        <x:v>Latest explicit feedback supersedes shiny editor glass controls. Use the same flat semantic controlColor backing for the picker and both actions, with no specular treatment. Preserve sampled light profile colors; dark variants keep hue with lower chroma and bounded lightness. The identity underlay is subdued in dark mode. Keep prior glass decisions as history.</x:v>
      </x:c>
      <x:c r="F66" s="57" t="str">
        <x:v>UX-003, PRF-004, PRF-023, MEN-005</x:v>
      </x:c>
    </x:row>
    <x:row r="67">
      <x:c r="A67" s="58" t="str">
        <x:v>DEC-34</x:v>
      </x:c>
      <x:c r="B67" s="58" t="str">
        <x:v>Execution decision</x:v>
      </x:c>
      <x:c r="C67" s="58" t="str">
        <x:v>single native white app-icon body</x:v>
      </x:c>
      <x:c r="D67" s="58" t="str">
        <x:v>Settled</x:v>
      </x:c>
      <x:c r="E67" s="57" t="str">
        <x:v>Compile Design/AppIcon.icon with a white native body and the unchanged approved dockling layer at 1.26 scale. Disable decorative glass, specular and shadow effects. The 1.22 rim candidate and compound-scale cropped candidate are rejected. Keep the reviewed raster master and size ladder. Refresh only the isolated QA registration to retest stale icon rendering. Actual Dock and all appearance gates remain required.</x:v>
      </x:c>
      <x:c r="F67" s="57" t="str">
        <x:v>UX-002, SET-004, MEN-007</x:v>
      </x:c>
    </x:row>
    <x:row r="68">
      <x:c r="A68" s="58" t="str">
        <x:v>DEC-35</x:v>
      </x:c>
      <x:c r="B68" s="58" t="str">
        <x:v>Execution decision</x:v>
      </x:c>
      <x:c r="C68" s="58" t="str">
        <x:v>separate feedback and drag presentation from persistence</x:v>
      </x:c>
      <x:c r="D68" s="58" t="str">
        <x:v>Settled</x:v>
      </x:c>
      <x:c r="E68" s="57" t="str">
        <x:v>Represent normal, pending, applying, save-failure and reconciliation feedback explicitly. Crossfade status without delaying actual completion. Native drag session state previews reorder and commits an accepted immutable intent once. Membership changes animate insertion and removal without replaying on same-membership keyboard reorder. Reduce Motion removes geometry motion. Runtime recording remains required.</x:v>
      </x:c>
      <x:c r="F68" s="57" t="str">
        <x:v>PRF-020, PRF-034, PRF-032, REL-003, MOT-005</x:v>
      </x:c>
    </x:row>
    <x:row r="69">
      <x:c r="A69" s="58" t="str">
        <x:v>DEC-36</x:v>
      </x:c>
      <x:c r="B69" s="58" t="str">
        <x:v>Execution correction</x:v>
      </x:c>
      <x:c r="C69" s="58" t="str">
        <x:v>contrast over bright content in dark appearance</x:v>
      </x:c>
      <x:c r="D69" s="58" t="str">
        <x:v>Candidate under verification</x:v>
      </x:c>
      <x:c r="E69" s="57" t="str">
        <x:v>The flat dark controlColor fill fails measured text contrast. Use semantic controlBackgroundColor for dark controls and retain controlColor in light. Keep one native editor background rule on ContentView. Trial Material.ultraThick in dark after Material.thick still failed captured small-status contrast; retain Material.regular in light. No custom blur stack, whole-window profile tint or decorative overlay. The ultraThick candidate compiles but is not visually accepted because the Mac locked before capture.</x:v>
      </x:c>
      <x:c r="F69" s="57" t="str">
        <x:v>UX-003, MEN-004, MEN-006, REL-003</x:v>
      </x:c>
    </x:row>
    <x:row r="70">
      <x:c r="A70" s="58" t="str">
        <x:v>DEC-37</x:v>
      </x:c>
      <x:c r="B70" s="58" t="str">
        <x:v>Execution correction</x:v>
      </x:c>
      <x:c r="C70" s="58" t="str">
        <x:v>readable activation status in both themes</x:v>
      </x:c>
      <x:c r="D70" s="58" t="str">
        <x:v>Implemented; bounded retest passed</x:v>
      </x:c>
      <x:c r="E70" s="57" t="str">
        <x:v>Use the primary semantic foreground for essential activation status in both themes. This supersedes the dark-only status experiment. Keep native ultraThick window material in dark and regular in light, with flat neutral controls. The smaller font and placement maintain hierarchy. Full wallpaper, accessibility and fallback-window coverage remains open.</x:v>
      </x:c>
      <x:c r="F70" s="57" t="str">
        <x:v>UX-003, REL-003</x:v>
      </x:c>
    </x:row>
    <x:row r="71">
      <x:c r="A71" s="58" t="str">
        <x:v>DEC-FINISH-CHECKPOINTS</x:v>
      </x:c>
      <x:c r="B71" s="58" t="str">
        <x:v>Execution decision</x:v>
      </x:c>
      <x:c r="C71" s="58" t="str">
        <x:v>Finish through five bounded checkpoints</x:v>
      </x:c>
      <x:c r="D71" s="58" t="str">
        <x:v>Settled</x:v>
      </x:c>
      <x:c r="E71" s="57" t="str">
        <x:v>User approved one authoritative installation, appearance, interactions, functionality, then release verification. Preserve the approved scope. Each checkpoint has a finite acceptance checklist and an explicit pass or blocker. Do not repeat a failed test-tool experiment without new evidence. The workbook remains the only feature-status tracker.</x:v>
      </x:c>
      <x:c r="F71" s="57" t="str">
        <x:v>REL-004, UX-003, MOT-005</x:v>
      </x:c>
    </x:row>
    <x:row r="72">
      <x:c r="A72" s="58" t="str">
        <x:v>DEC-DEVELOPMENT-AUTHORITY</x:v>
      </x:c>
      <x:c r="B72" s="58" t="str">
        <x:v>Execution decision</x:v>
      </x:c>
      <x:c r="C72" s="58" t="str">
        <x:v>Use one existing development build registration</x:v>
      </x:c>
      <x:c r="D72" s="58" t="str">
        <x:v>Settled</x:v>
      </x:c>
      <x:c r="E72" s="57" t="str">
        <x:v>Retain /Users/advegaf/Library/Developer/Xcode/DerivedData/dockit-reference-controls/Build/Products/Debug/dockit.app for com.advegaf.dockit. Fourteen exact older bundle registrations were removed after bundle-ID and process checks. Files and evidence remain recoverable by registering each bundle again. The running fresh demo and isolated test identities are excluded. No new app copy was created.</x:v>
      </x:c>
      <x:c r="F72" s="57" t="str">
        <x:v>REL-004, UX-002, MEN-007</x:v>
      </x:c>
    </x:row>
    <x:row r="73">
      <x:c r="A73" s="58" t="str">
        <x:v>DEC-MANAGE-MENU-SYMBOL</x:v>
      </x:c>
      <x:c r="B73" s="58" t="str">
        <x:v>Execution decision</x:v>
      </x:c>
      <x:c r="C73" s="58" t="str">
        <x:v>Add a native Dock symbol to manage docks</x:v>
      </x:c>
      <x:c r="D73" s="58" t="str">
        <x:v>Settled</x:v>
      </x:c>
      <x:c r="E73" s="57" t="str">
        <x:v>User selected a monochrome native Dock symbol beside manage docks... rather than the mascot. Use dock.rectangle as a template image so native menu appearance and highlighting determine its color. Keep the separate three-squircle miniature Dock status icon.</x:v>
      </x:c>
      <x:c r="F73" s="57" t="str">
        <x:v>MEN-001, MEN-007</x:v>
      </x:c>
    </x:row>
    <x:row r="74">
      <x:c r="A74" s="58" t="str">
        <x:v>DEC-DEVELOPMENT-SIGNATURE-CHECK</x:v>
      </x:c>
      <x:c r="B74" s="58" t="str">
        <x:v>Execution decision</x:v>
      </x:c>
      <x:c r="C74" s="58" t="str">
        <x:v>Reject unsigned test outputs as the authoritative app</x:v>
      </x:c>
      <x:c r="D74" s="58" t="str">
        <x:v>Settled</x:v>
      </x:c>
      <x:c r="E74" s="57" t="str">
        <x:v>The registration cleanup retained an unsigned build-for-testing output. macOS rejected its Focus extension. Build the existing reference-controls location with the cached Apple Development identity before registration. The cleanup script now verifies the complete signature, extension identity, and team before unregistering any build. This is local development signing, not release distribution or notarization.</x:v>
      </x:c>
      <x:c r="F74" s="57" t="str">
        <x:v>REL-004, FOC-001</x:v>
      </x:c>
    </x:row>
    <x:row r="75">
      <x:c r="A75" s="58" t="str">
        <x:v>DEC-FINISHING-20260906</x:v>
      </x:c>
      <x:c r="B75" s="58" t="str">
        <x:v>Approved finishing pass</x:v>
      </x:c>
      <x:c r="C75" s="58" t="str">
        <x:v>Apply feedback, first-run guide and dark DMG</x:v>
      </x:c>
      <x:c r="D75" s="58" t="str">
        <x:v>Settled</x:v>
      </x:c>
      <x:c r="E75" s="57" t="str">
        <x:v>User approved stable 250 ms apply feedback with presentation-only 150 ms spinner threshold; native picker alignment; a content-sized first-run guide reopened from Help; charcoal DMG with separate decorative mascot and shelf, app left, Applications right, drag me pretty please and arrow. Preserve drag adapter and release gates. Work in separate app and packaging ownership; root reviews artifacts and verification. No unrelated redesign or public release.</x:v>
      </x:c>
      <x:c r="F75" s="57" t="str">
        <x:v>UX-001, UX-003, PRF-028, REL-001</x:v>
      </x:c>
    </x:row>
    <x:row r="76">
      <x:c r="A76" s="58" t="str">
        <x:v>DEC-FINISHING-VERIFICATION-20260906</x:v>
      </x:c>
      <x:c r="B76" s="58" t="str">
        <x:v>Verification boundary</x:v>
      </x:c>
      <x:c r="C76" s="58" t="str">
        <x:v>Actual captures versus hosted tests</x:v>
      </x:c>
      <x:c r="D76" s="58" t="str">
        <x:v>Settled</x:v>
      </x:c>
      <x:c r="E76" s="57" t="str">
        <x:v>Computer Use returns repeated ScreenCaptureKit -3811 failures during this pass. Continue implementation and hosted tests; label hosted images as hosted renders, not live screenshots or recordings. Do not infer live motion approval from code or unit tests. Keep light recovery action visibility unresolved until a reliable rendering observation. Requested automate-me does not authorize an unrelated personal skill or transcript-mining task.</x:v>
      </x:c>
      <x:c r="F76" s="57" t="str">
        <x:v>UX-001, XFR-006</x:v>
      </x:c>
    </x:row>
    <x:row r="77">
      <x:c r="A77" s="58" t="str">
        <x:v>DEC-MENU-LIFECYCLE-20260906</x:v>
      </x:c>
      <x:c r="B77" s="58" t="str">
        <x:v>User confirmed behavior</x:v>
      </x:c>
      <x:c r="C77" s="58" t="str">
        <x:v>Resident menu bar app and following successful menu activation</x:v>
      </x:c>
      <x:c r="D77" s="58" t="str">
        <x:v>Settled</x:v>
      </x:c>
      <x:c r="E77" s="57" t="str">
        <x:v>Supersedes optional menu bar visibility and preserving editor selection after menu activation. Keep menu bar visible. Successful menu activation follows the new active profile without opening a closed editor. Cmd+Q closes dockit windows and returns to the menu bar. Only menu bar quit ends the app through ordinary user commands; system shutdown and logout remain supported. Focus selection behavior is unchanged.</x:v>
      </x:c>
      <x:c r="F77" s="57" t="str">
        <x:v>MEN-001, MEN-003, MEN-007, SET-002</x:v>
      </x:c>
    </x:row>
    <x:row r="78">
      <x:c r="A78" s="58" t="str">
        <x:v>DEC-APPLIED-ACTION-20260906</x:v>
      </x:c>
      <x:c r="B78" s="58" t="str">
        <x:v>User requested feedback correction</x:v>
      </x:c>
      <x:c r="C78" s="58" t="str">
        <x:v>Static applied action</x:v>
      </x:c>
      <x:c r="D78" s="58" t="str">
        <x:v>Settled</x:v>
      </x:c>
      <x:c r="E78" s="57" t="str">
        <x:v>A saved layout matching the active verified baseline shows applied in the editor action without replaying applying feedback. Layout edits restore use this dock. Delay the complete applying presentation for fast operations, never delay actual application or errors. Keep menu apply actions operational.</x:v>
      </x:c>
      <x:c r="F78" s="57" t="str">
        <x:v>PRF-010, REL-003</x:v>
      </x:c>
    </x:row>
    <x:row r="79">
      <x:c r="A79" s="58" t="str">
        <x:v>DEC-FRESH-INSTALL-20260906</x:v>
      </x:c>
      <x:c r="B79" s="58" t="str">
        <x:v>Execution decision</x:v>
      </x:c>
      <x:c r="C79" s="58" t="str">
        <x:v>Fresh libraries capture only current dock and show the guide. Existing libraries and guide completion survive reinstall or update. Empty profiles remain available after setup.</x:v>
      </x:c>
      <x:c r="D79" s="58" t="str">
        <x:v>Settled</x:v>
      </x:c>
      <x:c r="E79" s="57" t="str">
        <x:v>User confirmed this distinction with continue after the explicit reinstall clarification. Supersedes the initial start-empty setup choice without deleting existing profiles.</x:v>
      </x:c>
      <x:c r="F79" s="57" t="str"/>
    </x:row>
    <x:row r="80">
      <x:c r="A80" s="58" t="str">
        <x:v>DEC-CLEAN-INSTALLER-20260906</x:v>
      </x:c>
      <x:c r="B80" s="58" t="str">
        <x:v>Execution decision</x:v>
      </x:c>
      <x:c r="C80" s="58" t="str">
        <x:v>Remove background notices and filename underlays. App and extension versions remain 1.0.0. Final notarized release destination is dist/dockit.dmg. Development files retain explicit development names.</x:v>
      </x:c>
      <x:c r="D80" s="58" t="str">
        <x:v>Settled</x:v>
      </x:c>
      <x:c r="E80" s="57" t="str">
        <x:v>User requested clean artwork and a fixed release name. Removing background copy does not change signature status or waive existing release gates.</x:v>
      </x:c>
      <x:c r="F80" s="57" t="str"/>
    </x:row>
    <x:row r="81">
      <x:c r="A81" s="58" t="str">
        <x:v>DEC-WHITE-DMG-20260906</x:v>
      </x:c>
      <x:c r="B81" s="58" t="str">
        <x:v>Execution decision</x:v>
      </x:c>
      <x:c r="C81" s="58" t="str">
        <x:v>Use white installer artwork with dark text and arrow. Keep native filenames readable without hiding or renaming them.</x:v>
      </x:c>
      <x:c r="D81" s="58" t="str">
        <x:v>Settled</x:v>
      </x:c>
      <x:c r="E81" s="57" t="str">
        <x:v>User explicitly replaced the charcoal background decision. Built-in imagegen replaced the background while retaining mascot composition. Requested 4K generation returned 1536x1024; the 3840x2327 export upscales the mascot and renders text and arrow natively. Finder uses the standard Retina rendition.</x:v>
      </x:c>
      <x:c r="F81" s="57" t="str"/>
    </x:row>
    <x:row r="82">
      <x:c r="A82" s="58" t="str">
        <x:v>DEC-CLEAN-ABOUT-20260906</x:v>
      </x:c>
      <x:c r="B82" s="58" t="str">
        <x:v>Execution decision</x:v>
      </x:c>
      <x:c r="C82" s="58" t="str">
        <x:v>Remove the development and notarization notice from visible About copy. Keep version, platform requirement and local privacy information.</x:v>
      </x:c>
      <x:c r="D82" s="58" t="str">
        <x:v>Settled</x:v>
      </x:c>
      <x:c r="E82" s="57" t="str">
        <x:v>User requested permanent release-neutral copy before later notarization. Do not claim notarization, disable release checks or rename a development artifact as a verified release. Removed orphaned styling left after the notice deletion.</x:v>
      </x:c>
      <x:c r="F82" s="57" t="str"/>
    </x:row>
    <x:row r="83">
      <x:c r="C83"/>
      <x:c r="E83"/>
    </x:row>
    <x:row r="84">
      <x:c r="C84"/>
      <x:c r="E84"/>
    </x:row>
    <x:row r="85">
      <x:c r="C85"/>
      <x:c r="E85"/>
    </x:row>
    <x:row r="86">
      <x:c r="C86"/>
      <x:c r="E86"/>
    </x:row>
    <x:row r="87">
      <x:c r="C87"/>
      <x:c r="E87"/>
    </x:row>
    <x:row r="88">
      <x:c r="C88"/>
      <x:c r="E88"/>
    </x:row>
    <x:row r="89">
      <x:c r="C89"/>
      <x:c r="E89"/>
    </x:row>
    <x:row r="90">
      <x:c r="C90"/>
      <x:c r="E90"/>
    </x:row>
    <x:row r="91">
      <x:c r="C91"/>
      <x:c r="E91"/>
    </x:row>
    <x:row r="92">
      <x:c r="C92"/>
      <x:c r="E92"/>
    </x:row>
    <x:row r="93">
      <x:c r="C93"/>
      <x:c r="E93"/>
    </x:row>
    <x:row r="94">
      <x:c r="C94"/>
      <x:c r="E94"/>
    </x:row>
    <x:row r="95">
      <x:c r="C95"/>
      <x:c r="E95"/>
    </x:row>
    <x:row r="96">
      <x:c r="C96"/>
      <x:c r="E96"/>
    </x:row>
    <x:row r="97">
      <x:c r="C97"/>
      <x:c r="E97"/>
    </x:row>
    <x:row r="98">
      <x:c r="C98"/>
      <x:c r="E98"/>
    </x:row>
    <x:row r="99">
      <x:c r="C99"/>
      <x:c r="E99"/>
    </x:row>
    <x:row r="100">
      <x:c r="C100"/>
      <x:c r="E100"/>
    </x:row>
    <x:row r="101">
      <x:c r="C101"/>
      <x:c r="E101"/>
    </x:row>
    <x:row r="102">
      <x:c r="C102"/>
      <x:c r="E102"/>
    </x:row>
    <x:row r="103">
      <x:c r="C103"/>
      <x:c r="E103"/>
    </x:row>
    <x:row r="104">
      <x:c r="C104"/>
      <x:c r="E104"/>
    </x:row>
    <x:row r="105">
      <x:c r="C105"/>
      <x:c r="E105"/>
    </x:row>
    <x:row r="106">
      <x:c r="C106"/>
      <x:c r="E106"/>
    </x:row>
    <x:row r="107">
      <x:c r="C107"/>
      <x:c r="E107"/>
    </x:row>
    <x:row r="108">
      <x:c r="C108"/>
      <x:c r="E108"/>
    </x:row>
    <x:row r="109">
      <x:c r="C109"/>
      <x:c r="E109"/>
    </x:row>
    <x:row r="110">
      <x:c r="C110"/>
      <x:c r="E110"/>
    </x:row>
    <x:row r="111">
      <x:c r="C111"/>
      <x:c r="E111"/>
    </x:row>
    <x:row r="112">
      <x:c r="C112"/>
      <x:c r="E112"/>
    </x:row>
    <x:row r="113">
      <x:c r="C113"/>
      <x:c r="E113"/>
    </x:row>
    <x:row r="114">
      <x:c r="C114"/>
      <x:c r="E114"/>
    </x:row>
    <x:row r="115">
      <x:c r="C115"/>
      <x:c r="E115"/>
    </x:row>
    <x:row r="116">
      <x:c r="C116"/>
      <x:c r="E116"/>
    </x:row>
    <x:row r="117">
      <x:c r="C117"/>
      <x:c r="E117"/>
    </x:row>
    <x:row r="118">
      <x:c r="C118"/>
      <x:c r="E118"/>
    </x:row>
    <x:row r="119">
      <x:c r="C119"/>
      <x:c r="E119"/>
    </x:row>
    <x:row r="120">
      <x:c r="C120"/>
      <x:c r="E120"/>
    </x:row>
    <x:row r="121">
      <x:c r="C121"/>
      <x:c r="E121"/>
    </x:row>
    <x:row r="122">
      <x:c r="C122"/>
      <x:c r="E122"/>
    </x:row>
    <x:row r="123">
      <x:c r="C123"/>
      <x:c r="E123"/>
    </x:row>
    <x:row r="124">
      <x:c r="C124"/>
      <x:c r="E124"/>
    </x:row>
    <x:row r="125">
      <x:c r="C125"/>
      <x:c r="E125"/>
    </x:row>
    <x:row r="126">
      <x:c r="C126"/>
      <x:c r="E126"/>
    </x:row>
    <x:row r="127">
      <x:c r="C127"/>
      <x:c r="E127"/>
    </x:row>
    <x:row r="128">
      <x:c r="C128"/>
      <x:c r="E128"/>
    </x:row>
    <x:row r="129">
      <x:c r="C129"/>
      <x:c r="E129"/>
    </x:row>
    <x:row r="130">
      <x:c r="C130"/>
      <x:c r="E130"/>
    </x:row>
    <x:row r="131">
      <x:c r="C131"/>
      <x:c r="E131"/>
    </x:row>
    <x:row r="132">
      <x:c r="C132"/>
      <x:c r="E132"/>
    </x:row>
    <x:row r="133">
      <x:c r="C133"/>
      <x:c r="E133"/>
    </x:row>
    <x:row r="134">
      <x:c r="C134"/>
      <x:c r="E134"/>
    </x:row>
    <x:row r="135">
      <x:c r="C135"/>
      <x:c r="E135"/>
    </x:row>
    <x:row r="136">
      <x:c r="C136"/>
      <x:c r="E136"/>
    </x:row>
    <x:row r="137">
      <x:c r="C137"/>
      <x:c r="E137"/>
    </x:row>
    <x:row r="138">
      <x:c r="C138"/>
      <x:c r="E138"/>
    </x:row>
    <x:row r="139">
      <x:c r="C139"/>
      <x:c r="E139"/>
    </x:row>
    <x:row r="140">
      <x:c r="C140"/>
      <x:c r="E140"/>
    </x:row>
    <x:row r="141">
      <x:c r="C141"/>
      <x:c r="E141"/>
    </x:row>
    <x:row r="142">
      <x:c r="C142"/>
      <x:c r="E142"/>
    </x:row>
    <x:row r="143">
      <x:c r="C143"/>
      <x:c r="E143"/>
    </x:row>
    <x:row r="144">
      <x:c r="C144"/>
      <x:c r="E144"/>
    </x:row>
    <x:row r="145">
      <x:c r="C145"/>
      <x:c r="E145"/>
    </x:row>
    <x:row r="146">
      <x:c r="C146"/>
      <x:c r="E146"/>
    </x:row>
    <x:row r="147">
      <x:c r="C147"/>
      <x:c r="E147"/>
    </x:row>
    <x:row r="148">
      <x:c r="C148"/>
      <x:c r="E148"/>
    </x:row>
    <x:row r="149">
      <x:c r="C149"/>
      <x:c r="E149"/>
    </x:row>
    <x:row r="150">
      <x:c r="C150"/>
      <x:c r="E150"/>
    </x:row>
    <x:row r="151">
      <x:c r="C151"/>
      <x:c r="E151"/>
    </x:row>
    <x:row r="152">
      <x:c r="C152"/>
      <x:c r="E152"/>
    </x:row>
    <x:row r="153">
      <x:c r="C153"/>
      <x:c r="E153"/>
    </x:row>
    <x:row r="154">
      <x:c r="C154"/>
      <x:c r="E154"/>
    </x:row>
    <x:row r="155">
      <x:c r="C155"/>
      <x:c r="E155"/>
    </x:row>
    <x:row r="156">
      <x:c r="C156"/>
      <x:c r="E156"/>
    </x:row>
    <x:row r="157">
      <x:c r="C157"/>
      <x:c r="E157"/>
    </x:row>
    <x:row r="158">
      <x:c r="C158"/>
      <x:c r="E158"/>
    </x:row>
    <x:row r="159">
      <x:c r="C159"/>
      <x:c r="E159"/>
    </x:row>
    <x:row r="160">
      <x:c r="C160"/>
      <x:c r="E160"/>
    </x:row>
    <x:row r="161">
      <x:c r="C161"/>
      <x:c r="E161"/>
    </x:row>
    <x:row r="162">
      <x:c r="C162"/>
      <x:c r="E162"/>
    </x:row>
    <x:row r="163">
      <x:c r="C163"/>
      <x:c r="E163"/>
    </x:row>
    <x:row r="164">
      <x:c r="C164"/>
      <x:c r="E164"/>
    </x:row>
    <x:row r="165">
      <x:c r="C165"/>
      <x:c r="E165"/>
    </x:row>
    <x:row r="166">
      <x:c r="C166"/>
      <x:c r="E166"/>
    </x:row>
    <x:row r="167">
      <x:c r="C167"/>
      <x:c r="E167"/>
    </x:row>
    <x:row r="168">
      <x:c r="C168"/>
      <x:c r="E168"/>
    </x:row>
    <x:row r="169">
      <x:c r="C169"/>
      <x:c r="E169"/>
    </x:row>
    <x:row r="170">
      <x:c r="C170"/>
      <x:c r="E170"/>
    </x:row>
    <x:row r="171">
      <x:c r="C171"/>
      <x:c r="E171"/>
    </x:row>
    <x:row r="172">
      <x:c r="C172"/>
      <x:c r="E172"/>
    </x:row>
    <x:row r="173">
      <x:c r="C173"/>
      <x:c r="E173"/>
    </x:row>
    <x:row r="174">
      <x:c r="C174"/>
      <x:c r="E174"/>
    </x:row>
    <x:row r="175">
      <x:c r="C175"/>
      <x:c r="E175"/>
    </x:row>
    <x:row r="176">
      <x:c r="C176"/>
      <x:c r="E176"/>
    </x:row>
    <x:row r="177">
      <x:c r="C177"/>
      <x:c r="E177"/>
    </x:row>
    <x:row r="178">
      <x:c r="C178"/>
      <x:c r="E178"/>
    </x:row>
    <x:row r="179">
      <x:c r="C179"/>
      <x:c r="E179"/>
    </x:row>
    <x:row r="180">
      <x:c r="C180"/>
      <x:c r="E180"/>
    </x:row>
    <x:row r="181">
      <x:c r="C181"/>
      <x:c r="E181"/>
    </x:row>
    <x:row r="182">
      <x:c r="C182"/>
      <x:c r="E182"/>
    </x:row>
    <x:row r="183">
      <x:c r="C183"/>
      <x:c r="E183"/>
    </x:row>
    <x:row r="184">
      <x:c r="C184"/>
      <x:c r="E184"/>
    </x:row>
    <x:row r="185">
      <x:c r="C185"/>
      <x:c r="E185"/>
    </x:row>
    <x:row r="186">
      <x:c r="C186"/>
      <x:c r="E186"/>
    </x:row>
    <x:row r="187">
      <x:c r="C187"/>
      <x:c r="E187"/>
    </x:row>
    <x:row r="188">
      <x:c r="C188"/>
      <x:c r="E188"/>
    </x:row>
    <x:row r="189">
      <x:c r="C189"/>
      <x:c r="E189"/>
    </x:row>
    <x:row r="190">
      <x:c r="C190"/>
      <x:c r="E190"/>
    </x:row>
    <x:row r="191">
      <x:c r="C191"/>
      <x:c r="E191"/>
    </x:row>
    <x:row r="192">
      <x:c r="C192"/>
      <x:c r="E192"/>
    </x:row>
    <x:row r="193">
      <x:c r="C193"/>
      <x:c r="E193"/>
    </x:row>
    <x:row r="194">
      <x:c r="C194"/>
      <x:c r="E194"/>
    </x:row>
    <x:row r="195">
      <x:c r="C195"/>
      <x:c r="E195"/>
    </x:row>
    <x:row r="196">
      <x:c r="C196"/>
      <x:c r="E196"/>
    </x:row>
    <x:row r="197">
      <x:c r="C197"/>
      <x:c r="E197"/>
    </x:row>
    <x:row r="198">
      <x:c r="C198"/>
      <x:c r="E198"/>
    </x:row>
    <x:row r="199">
      <x:c r="C199"/>
      <x:c r="E199"/>
    </x:row>
    <x:row r="200">
      <x:c r="C200"/>
      <x:c r="E200"/>
    </x:row>
    <x:row r="201">
      <x:c r="C201"/>
      <x:c r="E201"/>
    </x:row>
    <x:row r="202">
      <x:c r="C202"/>
      <x:c r="E202"/>
    </x:row>
    <x:row r="203">
      <x:c r="C203"/>
      <x:c r="E203"/>
    </x:row>
    <x:row r="204">
      <x:c r="C204"/>
      <x:c r="E204"/>
    </x:row>
    <x:row r="205">
      <x:c r="C205"/>
      <x:c r="E205"/>
    </x:row>
    <x:row r="206">
      <x:c r="C206"/>
      <x:c r="E206"/>
    </x:row>
    <x:row r="207">
      <x:c r="C207"/>
      <x:c r="E207"/>
    </x:row>
    <x:row r="208">
      <x:c r="C208"/>
      <x:c r="E208"/>
    </x:row>
    <x:row r="209">
      <x:c r="C209"/>
      <x:c r="E209"/>
    </x:row>
    <x:row r="210">
      <x:c r="C210"/>
      <x:c r="E210"/>
    </x:row>
    <x:row r="211">
      <x:c r="C211"/>
      <x:c r="E211"/>
    </x:row>
    <x:row r="212">
      <x:c r="C212"/>
      <x:c r="E212"/>
    </x:row>
    <x:row r="213">
      <x:c r="C213"/>
      <x:c r="E213"/>
    </x:row>
    <x:row r="214">
      <x:c r="C214"/>
      <x:c r="E214"/>
    </x:row>
    <x:row r="215">
      <x:c r="C215"/>
      <x:c r="E215"/>
    </x:row>
    <x:row r="216">
      <x:c r="C216"/>
      <x:c r="E216"/>
    </x:row>
    <x:row r="217">
      <x:c r="C217"/>
      <x:c r="E217"/>
    </x:row>
    <x:row r="218">
      <x:c r="C218"/>
      <x:c r="E218"/>
    </x:row>
    <x:row r="219">
      <x:c r="C219"/>
      <x:c r="E219"/>
    </x:row>
    <x:row r="220">
      <x:c r="C220"/>
      <x:c r="E220"/>
    </x:row>
    <x:row r="221">
      <x:c r="C221"/>
      <x:c r="E221"/>
    </x:row>
    <x:row r="222">
      <x:c r="C222"/>
      <x:c r="E222"/>
    </x:row>
    <x:row r="223">
      <x:c r="C223"/>
      <x:c r="E223"/>
    </x:row>
    <x:row r="224">
      <x:c r="C224"/>
      <x:c r="E224"/>
    </x:row>
    <x:row r="225">
      <x:c r="C225"/>
      <x:c r="E225"/>
    </x:row>
    <x:row r="226">
      <x:c r="C226"/>
      <x:c r="E226"/>
    </x:row>
    <x:row r="227">
      <x:c r="C227"/>
      <x:c r="E227"/>
    </x:row>
    <x:row r="228">
      <x:c r="C228"/>
      <x:c r="E228"/>
    </x:row>
    <x:row r="229">
      <x:c r="C229"/>
      <x:c r="E229"/>
    </x:row>
    <x:row r="230">
      <x:c r="C230"/>
      <x:c r="E230"/>
    </x:row>
    <x:row r="231">
      <x:c r="C231"/>
      <x:c r="E231"/>
    </x:row>
    <x:row r="232">
      <x:c r="C232"/>
      <x:c r="E232"/>
    </x:row>
    <x:row r="233">
      <x:c r="C233"/>
      <x:c r="E233"/>
    </x:row>
    <x:row r="234">
      <x:c r="C234"/>
      <x:c r="E234"/>
    </x:row>
    <x:row r="235">
      <x:c r="C235"/>
      <x:c r="E235"/>
    </x:row>
    <x:row r="236">
      <x:c r="C236"/>
      <x:c r="E236"/>
    </x:row>
    <x:row r="237">
      <x:c r="C237"/>
      <x:c r="E237"/>
    </x:row>
    <x:row r="238">
      <x:c r="C238"/>
      <x:c r="E238"/>
    </x:row>
    <x:row r="239">
      <x:c r="C239"/>
      <x:c r="E239"/>
    </x:row>
    <x:row r="240">
      <x:c r="C240"/>
      <x:c r="E240"/>
    </x:row>
    <x:row r="241">
      <x:c r="C241"/>
      <x:c r="E241"/>
    </x:row>
    <x:row r="242">
      <x:c r="C242"/>
      <x:c r="E242"/>
    </x:row>
    <x:row r="243">
      <x:c r="C243"/>
      <x:c r="E243"/>
    </x:row>
    <x:row r="244">
      <x:c r="C244"/>
      <x:c r="E244"/>
    </x:row>
    <x:row r="245">
      <x:c r="C245"/>
      <x:c r="E245"/>
    </x:row>
    <x:row r="246">
      <x:c r="C246"/>
      <x:c r="E246"/>
    </x:row>
    <x:row r="247">
      <x:c r="C247"/>
      <x:c r="E247"/>
    </x:row>
    <x:row r="248">
      <x:c r="C248"/>
      <x:c r="E248"/>
    </x:row>
    <x:row r="249">
      <x:c r="C249"/>
      <x:c r="E249"/>
    </x:row>
    <x:row r="250">
      <x:c r="C250"/>
      <x:c r="E250"/>
    </x:row>
    <x:row r="251">
      <x:c r="C251"/>
      <x:c r="E251"/>
    </x:row>
    <x:row r="252">
      <x:c r="C252"/>
      <x:c r="E252"/>
    </x:row>
    <x:row r="253">
      <x:c r="C253"/>
      <x:c r="E253"/>
    </x:row>
    <x:row r="254">
      <x:c r="C254"/>
      <x:c r="E254"/>
    </x:row>
    <x:row r="255">
      <x:c r="C255"/>
      <x:c r="E255"/>
    </x:row>
    <x:row r="256">
      <x:c r="C256"/>
      <x:c r="E256"/>
    </x:row>
    <x:row r="257">
      <x:c r="C257"/>
      <x:c r="E257"/>
    </x:row>
    <x:row r="258">
      <x:c r="C258"/>
      <x:c r="E258"/>
    </x:row>
    <x:row r="259">
      <x:c r="C259"/>
      <x:c r="E259"/>
    </x:row>
    <x:row r="260">
      <x:c r="C260"/>
      <x:c r="E260"/>
    </x:row>
    <x:row r="261">
      <x:c r="C261"/>
      <x:c r="E261"/>
    </x:row>
    <x:row r="262">
      <x:c r="C262"/>
      <x:c r="E262"/>
    </x:row>
    <x:row r="263">
      <x:c r="C263"/>
      <x:c r="E263"/>
    </x:row>
    <x:row r="264">
      <x:c r="C264"/>
      <x:c r="E264"/>
    </x:row>
    <x:row r="265">
      <x:c r="C265"/>
      <x:c r="E265"/>
    </x:row>
    <x:row r="266">
      <x:c r="C266"/>
      <x:c r="E266"/>
    </x:row>
    <x:row r="267">
      <x:c r="C267"/>
      <x:c r="E267"/>
    </x:row>
    <x:row r="268">
      <x:c r="C268"/>
      <x:c r="E268"/>
    </x:row>
    <x:row r="269">
      <x:c r="C269"/>
      <x:c r="E269"/>
    </x:row>
    <x:row r="270">
      <x:c r="C270"/>
      <x:c r="E270"/>
    </x:row>
    <x:row r="271">
      <x:c r="C271"/>
      <x:c r="E271"/>
    </x:row>
    <x:row r="272">
      <x:c r="C272"/>
      <x:c r="E272"/>
    </x:row>
    <x:row r="273">
      <x:c r="C273"/>
      <x:c r="E273"/>
    </x:row>
    <x:row r="274">
      <x:c r="C274"/>
      <x:c r="E274"/>
    </x:row>
    <x:row r="275">
      <x:c r="C275"/>
      <x:c r="E275"/>
    </x:row>
    <x:row r="276">
      <x:c r="C276"/>
      <x:c r="E276"/>
    </x:row>
    <x:row r="277">
      <x:c r="C277"/>
      <x:c r="E277"/>
    </x:row>
    <x:row r="278">
      <x:c r="C278"/>
      <x:c r="E278"/>
    </x:row>
    <x:row r="279">
      <x:c r="C279"/>
      <x:c r="E279"/>
    </x:row>
    <x:row r="280">
      <x:c r="C280"/>
      <x:c r="E280"/>
    </x:row>
    <x:row r="281">
      <x:c r="C281"/>
      <x:c r="E281"/>
    </x:row>
    <x:row r="282">
      <x:c r="C282"/>
      <x:c r="E282"/>
    </x:row>
    <x:row r="283">
      <x:c r="C283"/>
      <x:c r="E283"/>
    </x:row>
    <x:row r="284">
      <x:c r="C284"/>
      <x:c r="E284"/>
    </x:row>
    <x:row r="285">
      <x:c r="C285"/>
      <x:c r="E285"/>
    </x:row>
    <x:row r="286">
      <x:c r="C286"/>
      <x:c r="E286"/>
    </x:row>
    <x:row r="287">
      <x:c r="C287"/>
      <x:c r="E287"/>
    </x:row>
    <x:row r="288">
      <x:c r="C288"/>
      <x:c r="E288"/>
    </x:row>
    <x:row r="289">
      <x:c r="C289"/>
      <x:c r="E289"/>
    </x:row>
    <x:row r="290">
      <x:c r="C290"/>
      <x:c r="E290"/>
    </x:row>
    <x:row r="291">
      <x:c r="C291"/>
      <x:c r="E291"/>
    </x:row>
    <x:row r="292">
      <x:c r="C292"/>
      <x:c r="E292"/>
    </x:row>
    <x:row r="293">
      <x:c r="C293"/>
      <x:c r="E293"/>
    </x:row>
    <x:row r="294">
      <x:c r="C294"/>
      <x:c r="E294"/>
    </x:row>
    <x:row r="295">
      <x:c r="C295"/>
      <x:c r="E295"/>
    </x:row>
    <x:row r="296">
      <x:c r="C296"/>
      <x:c r="E296"/>
    </x:row>
    <x:row r="297">
      <x:c r="C297"/>
      <x:c r="E297"/>
    </x:row>
    <x:row r="298">
      <x:c r="C298"/>
      <x:c r="E298"/>
    </x:row>
    <x:row r="299">
      <x:c r="C299"/>
      <x:c r="E299"/>
    </x:row>
    <x:row r="300">
      <x:c r="C300"/>
      <x:c r="E300"/>
    </x:row>
  </x:sheetData>
  <x:mergeCells>
    <x:mergeCell ref="A1:F1"/>
    <x:mergeCell ref="A3:F3"/>
    <x:mergeCell ref="A21:F21"/>
    <x:mergeCell ref="A47:F47"/>
  </x:mergeCells>
  <x:conditionalFormatting sqref="D23:D44">
    <x:cfRule type="containsText" dxfId="12" priority="1" operator="containsText" text="Missing"/>
    <x:cfRule type="containsText" dxfId="13" priority="2" operator="containsText" text="Pending"/>
    <x:cfRule type="containsText" dxfId="14" priority="3" operator="containsText" text="Activ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4" hidden="0" customWidth="1"/>
    <x:col min="4" max="4" width="14" hidden="0" customWidth="1"/>
    <x:col min="5" max="5" width="16" hidden="0" customWidth="1"/>
    <x:col min="6" max="6" width="44" hidden="0" customWidth="1"/>
    <x:col min="7" max="7" width="32" hidden="0" customWidth="1"/>
    <x:col min="8" max="8" width="20" hidden="0" customWidth="1"/>
    <x:col min="9" max="9" width="48" hidden="0" customWidth="1"/>
    <x:col min="10" max="10" width="42" hidden="0" customWidth="1"/>
    <x:col min="11" max="11" width="14" hidden="0" customWidth="1"/>
    <x:col min="12" max="12" width="30" hidden="0" customWidth="1"/>
  </x:cols>
  <x:sheetData>
    <x:row r="1" ht="28" customHeight="1">
      <x:c r="A1" s="4" t="str">
        <x:v>Evidence</x:v>
      </x:c>
      <x:c r="B1" s="4"/>
      <x:c r="C1" s="4"/>
      <x:c r="D1" s="4"/>
      <x:c r="E1" s="4"/>
      <x:c r="F1" s="4"/>
      <x:c r="G1" s="4"/>
      <x:c r="H1" s="4"/>
      <x:c r="I1" s="4"/>
      <x:c r="J1" s="4"/>
      <x:c r="K1" s="4"/>
      <x:c r="L1" s="4"/>
    </x:row>
    <x:row r="2">
      <x:c r="A2" s="10" t="str">
        <x:v>Evidence items</x:v>
      </x:c>
      <x:c r="B2" s="11" t="n">
        <x:f>COUNTA(A6:A300)</x:f>
        <x:v>252</x:v>
      </x:c>
      <x:c r="C2" s="11"/>
      <x:c r="D2" s="11" t="str">
        <x:v>Screenshot items</x:v>
      </x:c>
      <x:c r="E2" s="11" t="n">
        <x:f>COUNTIF(B6:B300,"Screenshot")</x:f>
        <x:v>82</x:v>
      </x:c>
      <x:c r="F2" s="11"/>
      <x:c r="G2" s="11" t="str">
        <x:v>Recording items</x:v>
      </x:c>
      <x:c r="H2" s="12" t="n">
        <x:f>COUNTIF(B6:B300,"Recording")</x:f>
        <x:v>3</x:v>
      </x:c>
    </x:row>
    <x:row r="3" ht="28" customHeight="1">
      <x:c r="A3" s="7" t="str">
        <x:v>Link every screenshot, recording, or artifact to the story and test run it proves. A screenshot cannot prove motion by itself.</x:v>
      </x:c>
      <x:c r="B3" s="7"/>
      <x:c r="C3" s="7"/>
      <x:c r="D3" s="7"/>
      <x:c r="E3" s="7"/>
      <x:c r="F3" s="7"/>
      <x:c r="G3" s="7"/>
      <x:c r="H3" s="7"/>
      <x:c r="I3" s="7"/>
      <x:c r="J3" s="7"/>
      <x:c r="K3" s="7"/>
      <x:c r="L3" s="7"/>
    </x:row>
    <x:row r="5" ht="34" customHeight="1">
      <x:c r="A5" s="31" t="str">
        <x:v>Evidence ID</x:v>
      </x:c>
      <x:c r="B5" s="32" t="str">
        <x:v>Type</x:v>
      </x:c>
      <x:c r="C5" s="32" t="str">
        <x:v>Story IDs</x:v>
      </x:c>
      <x:c r="D5" s="32" t="str">
        <x:v>Run ID</x:v>
      </x:c>
      <x:c r="E5" s="32" t="str">
        <x:v>Build / commit</x:v>
      </x:c>
      <x:c r="F5" s="32" t="str">
        <x:v>File path</x:v>
      </x:c>
      <x:c r="G5" s="32" t="str">
        <x:v>Scenario / state shown</x:v>
      </x:c>
      <x:c r="H5" s="32" t="str">
        <x:v>Captured at</x:v>
      </x:c>
      <x:c r="I5" s="32" t="str">
        <x:v>Visual review question</x:v>
      </x:c>
      <x:c r="J5" s="32" t="str">
        <x:v>Reviewer answer</x:v>
      </x:c>
      <x:c r="K5" s="32" t="str">
        <x:v>Verdict</x:v>
      </x:c>
      <x:c r="L5" s="33" t="str">
        <x:v>Notes</x:v>
      </x:c>
    </x:row>
    <x:row r="6">
      <x:c r="A6" s="41" t="str">
        <x:v>EV-P0-001</x:v>
      </x:c>
      <x:c r="B6" s="41" t="str">
        <x:v>Screenshot</x:v>
      </x:c>
      <x:c r="C6" s="41" t="str">
        <x:v>PRF-011</x:v>
      </x:c>
      <x:c r="D6" s="41" t="str">
        <x:v>TR-P0-002</x:v>
      </x:c>
      <x:c r="E6" s="41" t="str"/>
      <x:c r="F6" s="41" t="str">
        <x:v>artifacts/dock-probe/applied.png</x:v>
      </x:c>
      <x:c r="G6" s="41" t="str">
        <x:v>Real Dock with Notes, spacer, and TextEdit applied</x:v>
      </x:c>
      <x:c r="H6" s="53" t="n">
        <x:v>46268.94762342593</x:v>
      </x:c>
      <x:c r="I6" s="41" t="str">
        <x:v>Does the result remain the real macOS Dock and show the requested pinned order?</x:v>
      </x:c>
      <x:c r="J6" s="41" t="str">
        <x:v>Yes. The system Dock contains the fixture at the left. Running unpinned apps remain on its right.</x:v>
      </x:c>
      <x:c r="K6" s="41" t="str">
        <x:v>Pass</x:v>
      </x:c>
      <x:c r="L6" s="41"/>
    </x:row>
    <x:row r="7">
      <x:c r="A7" s="42" t="str">
        <x:v>EV-P0-002</x:v>
      </x:c>
      <x:c r="B7" s="42" t="str">
        <x:v>Recording</x:v>
      </x:c>
      <x:c r="C7" s="42" t="str">
        <x:v>PRF-012</x:v>
      </x:c>
      <x:c r="D7" s="42" t="str">
        <x:v>TR-P0-002-SPACER</x:v>
      </x:c>
      <x:c r="E7" s="42" t="str"/>
      <x:c r="F7" s="42" t="str">
        <x:v>artifacts/dock-probe/recorded-switch.mov</x:v>
      </x:c>
      <x:c r="G7" s="42" t="str">
        <x:v>Twelve-second real Dock apply and restore recording</x:v>
      </x:c>
      <x:c r="H7" s="52" t="n">
        <x:v>46268.94765814815</x:v>
      </x:c>
      <x:c r="I7" s="42" t="str">
        <x:v>Does the recording show a restrained native Dock reload and a complete return to the prior layout?</x:v>
      </x:c>
      <x:c r="J7" s="42" t="str">
        <x:v>Yes. macOS performs its own Dock transition. dockit adds no imitation or extra animation.</x:v>
      </x:c>
      <x:c r="K7" s="42" t="str">
        <x:v>Pass</x:v>
      </x:c>
      <x:c r="L7" s="42"/>
    </x:row>
    <x:row r="8">
      <x:c r="A8" s="42" t="str">
        <x:v>EV-P0-003</x:v>
      </x:c>
      <x:c r="B8" s="42" t="str">
        <x:v>Log</x:v>
      </x:c>
      <x:c r="C8" s="42" t="str">
        <x:v>PRF-016</x:v>
      </x:c>
      <x:c r="D8" s="42" t="str">
        <x:v>TR-P0-002-LIFECYCLE</x:v>
      </x:c>
      <x:c r="E8" s="42" t="str"/>
      <x:c r="F8" s="42" t="str">
        <x:v>artifacts/dock-probe/recorded-switch-report.json</x:v>
      </x:c>
      <x:c r="G8" s="42" t="str">
        <x:v>Machine-readable second live probe result</x:v>
      </x:c>
      <x:c r="H8" s="52" t="n">
        <x:v>46268.94772787037</x:v>
      </x:c>
      <x:c r="I8" s="42" t="str">
        <x:v>Does the evidence prove the requested change without disturbing running apps or windows?</x:v>
      </x:c>
      <x:c r="J8" s="42" t="str">
        <x:v>Yes. The report records stable regular-app and window identities during apply and after restore.</x:v>
      </x:c>
      <x:c r="K8" s="42" t="str">
        <x:v>Pass</x:v>
      </x:c>
      <x:c r="L8" s="42"/>
    </x:row>
    <x:row r="9">
      <x:c r="A9" s="42" t="str">
        <x:v>EV-UI-001</x:v>
      </x:c>
      <x:c r="B9" s="42" t="str">
        <x:v>Screenshot</x:v>
      </x:c>
      <x:c r="C9" s="42" t="str">
        <x:v>MEN-005</x:v>
      </x:c>
      <x:c r="D9" s="42" t="str">
        <x:v>TR-UI-001</x:v>
      </x:c>
      <x:c r="E9" s="42" t="str">
        <x:v>Debug 2026-09-03</x:v>
      </x:c>
      <x:c r="F9" s="42" t="str">
        <x:v>artifacts/ui/selected-vs-active-dark.png</x:v>
      </x:c>
      <x:c r="G9" s="42" t="str">
        <x:v>Work active while Reading is selected</x:v>
      </x:c>
      <x:c r="H9" s="52" t="n">
        <x:v>46268.95814891204</x:v>
      </x:c>
      <x:c r="I9" s="42" t="str">
        <x:v>Is selected versus active clear, and does every color indicator tell the truth?</x:v>
      </x:c>
      <x:c r="J9" s="42" t="str">
        <x:v>Selected versus active is clear. The white menu swatch conflicts with the Green label, and the profile name is duplicated.</x:v>
      </x:c>
      <x:c r="K9" s="42" t="str">
        <x:v>Fail</x:v>
      </x:c>
      <x:c r="L9" s="42" t="str">
        <x:v>Reviewed with better-colors, apple-design, design-review, and unslop criteria.</x:v>
      </x:c>
    </x:row>
    <x:row r="10">
      <x:c r="A10" s="42" t="str">
        <x:v>EV-UI-002</x:v>
      </x:c>
      <x:c r="B10" s="42" t="str">
        <x:v>Screenshot</x:v>
      </x:c>
      <x:c r="C10" s="42" t="str">
        <x:v>MEN-005</x:v>
      </x:c>
      <x:c r="D10" s="42" t="str">
        <x:v>TR-UI-002</x:v>
      </x:c>
      <x:c r="E10" s="42" t="str">
        <x:v>Debug 2026-09-03</x:v>
      </x:c>
      <x:c r="F10" s="42" t="str">
        <x:v>artifacts/ui/selected-vs-active-dark-after.png</x:v>
      </x:c>
      <x:c r="G10" s="42" t="str">
        <x:v>Work active while Reading is selected after the visual fix</x:v>
      </x:c>
      <x:c r="H10" s="52" t="n">
        <x:v>46268.95818513889</x:v>
      </x:c>
      <x:c r="I10" s="42" t="str">
        <x:v>Does this screenshot look native, state active versus selected clearly, and avoid misleading color or duplicate hierarchy?</x:v>
      </x:c>
      <x:c r="J10" s="42" t="str">
        <x:v>Yes. Work remains labeled Active, Reading has the system selection highlight, Green is named plainly, and dockit is the stable window title.</x:v>
      </x:c>
      <x:c r="K10" s="42" t="str">
        <x:v>Pass</x:v>
      </x:c>
      <x:c r="L10" s="42" t="str">
        <x:v>This is a dark-appearance checkpoint, not final visual verification.</x:v>
      </x:c>
    </x:row>
    <x:row r="11">
      <x:c r="A11" s="42" t="str">
        <x:v>EV-UI-003</x:v>
      </x:c>
      <x:c r="B11" s="42" t="str">
        <x:v>Screenshot</x:v>
      </x:c>
      <x:c r="C11" s="42" t="str">
        <x:v>FOC-007</x:v>
      </x:c>
      <x:c r="D11" s="42" t="str">
        <x:v>TR-SETUP-002</x:v>
      </x:c>
      <x:c r="E11" s="42" t="str">
        <x:v>Signed Debug 2026-09-03</x:v>
      </x:c>
      <x:c r="F11" s="42" t="str">
        <x:v>artifacts/ui/first-profile-real-dark.png</x:v>
      </x:c>
      <x:c r="G11" s="42" t="str">
        <x:v>First profile after choosing not to open dockit at login</x:v>
      </x:c>
      <x:c r="H11" s="52" t="n">
        <x:v>46268.96213724537</x:v>
      </x:c>
      <x:c r="I11" s="42" t="str">
        <x:v>Did first setup reach a truthful native profile view without an unrelated login-item error?</x:v>
      </x:c>
      <x:c r="J11" s="42" t="str">
        <x:v>Yes. Current Dock is active, the captured apps are visible, and no alert is present.</x:v>
      </x:c>
      <x:c r="K11" s="42" t="str">
        <x:v>Pass</x:v>
      </x:c>
      <x:c r="L11" s="42" t="str">
        <x:v>This verifies the fixed no-op path. It does not verify launch after sign-in.</x:v>
      </x:c>
    </x:row>
    <x:row r="12">
      <x:c r="A12" s="42" t="str">
        <x:v>EV-FOCUS-004</x:v>
      </x:c>
      <x:c r="B12" s="42" t="str">
        <x:v>Screenshot</x:v>
      </x:c>
      <x:c r="C12" s="42" t="str">
        <x:v>FOC-001</x:v>
      </x:c>
      <x:c r="D12" s="42" t="str">
        <x:v>TR-FOCUS-HOST-002</x:v>
      </x:c>
      <x:c r="E12" s="42" t="str">
        <x:v>Signed Debug 2026-09-03</x:v>
      </x:c>
      <x:c r="F12" s="42" t="str">
        <x:v>artifacts/ui/focus-probe-sandbox-pass.png</x:v>
      </x:c>
      <x:c r="G12" s="42" t="str">
        <x:v>dockit Focus filter loaded by System Settings after sandbox correction</x:v>
      </x:c>
      <x:c r="H12" s="52" t="n">
        <x:v>46269.09583158565</x:v>
      </x:c>
      <x:c r="I12" s="42" t="str">
        <x:v>Does this move dockit closer to reliable native Focus automation, and does the filter look like a standard System Settings control?</x:v>
      </x:c>
      <x:c r="J12" s="42" t="str">
        <x:v>Yes. System Settings loads the native filter UI and reads dockit's shared local catalog. The full activation path still needs a real Focus toggle test.</x:v>
      </x:c>
      <x:c r="K12" s="42" t="str">
        <x:v>Pass</x:v>
      </x:c>
      <x:c r="L12" s="42"/>
    </x:row>
    <x:row r="13">
      <x:c r="A13" s="42" t="str">
        <x:v>EV-CORE-001</x:v>
      </x:c>
      <x:c r="B13" s="42" t="str">
        <x:v>Log</x:v>
      </x:c>
      <x:c r="C13" s="42" t="str">
        <x:v>PRF-008, PRF-018, PRF-025, XFR-004, XFR-005, XFR-006, REL-001, REL-002</x:v>
      </x:c>
      <x:c r="D13" s="42" t="str">
        <x:v>TR-CORE-SAFETY-001</x:v>
      </x:c>
      <x:c r="E13" s="42" t="str">
        <x:v>Swift 6.3.3</x:v>
      </x:c>
      <x:c r="F13" s="42" t="str">
        <x:v>artifacts/core-tests-state-safety.log</x:v>
      </x:c>
      <x:c r="G13" s="42" t="str">
        <x:v>Persisted core safety regression covering profile validation, archive safety, monitor retry, deterministic apply, and recovery.</x:v>
      </x:c>
      <x:c r="H13" s="52" t="n">
        <x:v>46269.09173611111</x:v>
      </x:c>
      <x:c r="I13" s="42" t="str">
        <x:v>Does the saved test log cover the safety fixes linked to these stories without a failure?</x:v>
      </x:c>
      <x:c r="J13" s="42" t="str">
        <x:v>Yes. All 23 recorded core tests passed, including final-profile protection, malformed archive validation, collision naming, missing-reference retention, autosave retry, apply preimage protection, and recovery reload.</x:v>
      </x:c>
      <x:c r="K13" s="42" t="str">
        <x:v>Pass</x:v>
      </x:c>
      <x:c r="L13" s="42"/>
    </x:row>
    <x:row r="14">
      <x:c r="A14" s="42" t="str">
        <x:v>EV-P0-004</x:v>
      </x:c>
      <x:c r="B14" s="42" t="str">
        <x:v>Screenshot</x:v>
      </x:c>
      <x:c r="C14" s="42" t="str">
        <x:v>PRF-013, PRF-014, PRF-015, REL-001, REL-002</x:v>
      </x:c>
      <x:c r="D14" s="42" t="str">
        <x:v>TR-P0-003-NONPROFILE-FAIL</x:v>
      </x:c>
      <x:c r="E14" s="42" t="str">
        <x:v>DockProbe 2026-09-04</x:v>
      </x:c>
      <x:c r="F14" s="42" t="str">
        <x:v>artifacts/dock-probe/nonprofile-full-20260903-2321-manual-recovery.png</x:v>
      </x:c>
      <x:c r="G14" s="42" t="str">
        <x:v>The first full non-profile probe failed and required manual recovery of the visible Dock.</x:v>
      </x:c>
      <x:c r="H14" s="52" t="n">
        <x:v>46269.18082175926</x:v>
      </x:c>
      <x:c r="I14" s="42" t="str">
        <x:v>Does this screenshot prove that the failed run left the visible Dock incomplete and that recovery was required?</x:v>
      </x:c>
      <x:c r="J14" s="42" t="str">
        <x:v>Yes. Only Finder remains visible before the manual recovery finishes, so the failure cannot be treated as a safe pass.</x:v>
      </x:c>
      <x:c r="K14" s="42" t="str">
        <x:v>Fail</x:v>
      </x:c>
      <x:c r="L14" s="42" t="str">
        <x:v>The original account Dock was restored before testing continued.</x:v>
      </x:c>
    </x:row>
    <x:row r="15">
      <x:c r="A15" s="42" t="str">
        <x:v>EV-P0-005</x:v>
      </x:c>
      <x:c r="B15" s="42" t="str">
        <x:v>Log</x:v>
      </x:c>
      <x:c r="C15" s="42" t="str">
        <x:v>PRF-011, PRF-012, PRF-013, PRF-014, PRF-015, PRF-016, REL-001, REL-002</x:v>
      </x:c>
      <x:c r="D15" s="42" t="str">
        <x:v>TR-P0-003-NONPROFILE-PASS</x:v>
      </x:c>
      <x:c r="E15" s="42" t="str">
        <x:v>DockProbe 2026-09-04</x:v>
      </x:c>
      <x:c r="F15" s="42" t="str">
        <x:v>artifacts/dock-probe/nonprofile-pass-20260904-0000-report.json</x:v>
      </x:c>
      <x:c r="G15" s="42" t="str">
        <x:v>Machine-readable final non-profile Dock apply and restore result.</x:v>
      </x:c>
      <x:c r="H15" s="52" t="n">
        <x:v>46269.20805555556</x:v>
      </x:c>
      <x:c r="I15" s="42" t="str">
        <x:v>Does the report prove the requested profile change while preserving non-profile Dock state and restoring the original?</x:v>
      </x:c>
      <x:c r="J15" s="42" t="str">
        <x:v>Yes. Every recorded preservation and restoration field is true, skippedApps is empty, and regular app and window identities are unchanged.</x:v>
      </x:c>
      <x:c r="K15" s="42" t="str">
        <x:v>Pass</x:v>
      </x:c>
      <x:c r="L15" s="42"/>
    </x:row>
    <x:row r="16">
      <x:c r="A16" s="42" t="str">
        <x:v>EV-P0-006</x:v>
      </x:c>
      <x:c r="B16" s="42" t="str">
        <x:v>Recording</x:v>
      </x:c>
      <x:c r="C16" s="42" t="str">
        <x:v>PRF-011, PRF-012, PRF-013, PRF-016, REL-002, REL-003</x:v>
      </x:c>
      <x:c r="D16" s="42" t="str">
        <x:v>TR-P0-003-NONPROFILE-PASS</x:v>
      </x:c>
      <x:c r="E16" s="42" t="str">
        <x:v>DockProbe 2026-09-04</x:v>
      </x:c>
      <x:c r="F16" s="42" t="str">
        <x:v>artifacts/dock-probe/nonprofile-pass-20260904-0000.mov</x:v>
      </x:c>
      <x:c r="G16" s="42" t="str">
        <x:v>Real system Dock applies the controlled fixture and returns to the prior user Dock.</x:v>
      </x:c>
      <x:c r="H16" s="52" t="n">
        <x:v>46269.20831018518</x:v>
      </x:c>
      <x:c r="I16" s="42" t="str">
        <x:v>Does the recording show native Dock behavior, correct pinned order and spacer, and a complete visual restore?</x:v>
      </x:c>
      <x:c r="J16" s="42" t="str">
        <x:v>Yes. macOS performs its own Dock transition, the fixture uses the real Dock, and the original layout returns without added animation.</x:v>
      </x:c>
      <x:c r="K16" s="42" t="str">
        <x:v>Pass</x:v>
      </x:c>
      <x:c r="L16" s="42"/>
    </x:row>
    <x:row r="17">
      <x:c r="A17" s="42" t="str">
        <x:v>EV-P0-007</x:v>
      </x:c>
      <x:c r="B17" s="42" t="str">
        <x:v>Screenshot</x:v>
      </x:c>
      <x:c r="C17" s="42" t="str">
        <x:v>REL-001, REL-002</x:v>
      </x:c>
      <x:c r="D17" s="42" t="str">
        <x:v>TR-P0-003-NONPROFILE-PASS</x:v>
      </x:c>
      <x:c r="E17" s="42" t="str">
        <x:v>DockProbe 2026-09-04</x:v>
      </x:c>
      <x:c r="F17" s="42" t="str">
        <x:v>artifacts/dock-probe/nonprofile-pass-20260904-0000-after-fully-settled.png</x:v>
      </x:c>
      <x:c r="G17" s="42" t="str">
        <x:v>Original account Dock after final restore and settle delay.</x:v>
      </x:c>
      <x:c r="H17" s="52" t="n">
        <x:v>46269.208715277775</x:v>
      </x:c>
      <x:c r="I17" s="42" t="str">
        <x:v>Is the recovered result visually the same real macOS Dock baseline and free of test fixtures?</x:v>
      </x:c>
      <x:c r="J17" s="42" t="str">
        <x:v>Yes. The original pinned layout and non-profile section are present after the Dock fully settles.</x:v>
      </x:c>
      <x:c r="K17" s="42" t="str">
        <x:v>Pass</x:v>
      </x:c>
      <x:c r="L17" s="42"/>
    </x:row>
    <x:row r="18">
      <x:c r="A18" s="42" t="str">
        <x:v>EV-ACT-001</x:v>
      </x:c>
      <x:c r="B18" s="42" t="str">
        <x:v>Screenshot</x:v>
      </x:c>
      <x:c r="C18" s="42" t="str">
        <x:v>PRF-009</x:v>
      </x:c>
      <x:c r="D18" s="42" t="str">
        <x:v>TR-ACTIVATION-QUEUE-001</x:v>
      </x:c>
      <x:c r="E18" s="42" t="str">
        <x:v>Debug 2026-09-03</x:v>
      </x:c>
      <x:c r="F18" s="42" t="str">
        <x:v>artifacts/ui/activation-queue-before.jpeg</x:v>
      </x:c>
      <x:c r="G18" s="42" t="str">
        <x:v>Reading is selected while Work remains active before the recorded single activation.</x:v>
      </x:c>
      <x:c r="H18" s="52" t="n">
        <x:v>46269.1559837963</x:v>
      </x:c>
      <x:c r="I18" s="42" t="str">
        <x:v>Does the starting state distinguish the management selection from the active Dock?</x:v>
      </x:c>
      <x:c r="J18" s="42" t="str">
        <x:v>Yes. The sidebar selection and Active label communicate two different states without claiming the selected profile is already active. This screenshot does not test queueing.</x:v>
      </x:c>
      <x:c r="K18" s="42" t="str">
        <x:v>Pass</x:v>
      </x:c>
      <x:c r="L18" s="42"/>
    </x:row>
    <x:row r="19">
      <x:c r="A19" s="42" t="str">
        <x:v>EV-ACT-002</x:v>
      </x:c>
      <x:c r="B19" s="42" t="str">
        <x:v>Recording</x:v>
      </x:c>
      <x:c r="C19" s="42" t="str">
        <x:v>PRF-010, PRF-025, MEN-006, REL-003</x:v>
      </x:c>
      <x:c r="D19" s="42" t="str">
        <x:v>TR-ACTIVATION-QUEUE-001</x:v>
      </x:c>
      <x:c r="E19" s="42" t="str">
        <x:v>Debug 2026-09-03</x:v>
      </x:c>
      <x:c r="F19" s="42" t="str">
        <x:v>artifacts/ui/activation-queue-motion.mov</x:v>
      </x:c>
      <x:c r="G19" s="42" t="str">
        <x:v>One demo profile activation with native progress feedback.</x:v>
      </x:c>
      <x:c r="H19" s="52" t="n">
        <x:v>46269.156319444446</x:v>
      </x:c>
      <x:c r="I19" s="42" t="str">
        <x:v>Does the recording prove honest activation feedback, queued request handling, and Reduce Motion behavior?</x:v>
      </x:c>
      <x:c r="J19" s="42" t="str">
        <x:v>It proves immediate progress feedback, truthful active state, and a crisp single completion. It does not contain a second request, a real Dock transition, or a Reduce Motion run.</x:v>
      </x:c>
      <x:c r="K19" s="42" t="str">
        <x:v>Blocked</x:v>
      </x:c>
      <x:c r="L19" s="42" t="str">
        <x:v>The prior queue-pass interpretation was incorrect. See docs/activation-queue-motion-review.md.</x:v>
      </x:c>
    </x:row>
    <x:row r="20">
      <x:c r="A20" s="42" t="str">
        <x:v>EV-ACT-003</x:v>
      </x:c>
      <x:c r="B20" s="42" t="str">
        <x:v>Screenshot</x:v>
      </x:c>
      <x:c r="C20" s="42" t="str">
        <x:v>PRF-009, PRF-010</x:v>
      </x:c>
      <x:c r="D20" s="42" t="str">
        <x:v>TR-ACTIVATION-QUEUE-001</x:v>
      </x:c>
      <x:c r="E20" s="42" t="str">
        <x:v>Debug 2026-09-03</x:v>
      </x:c>
      <x:c r="F20" s="42" t="str">
        <x:v>artifacts/ui/activation-queue-after.jpeg</x:v>
      </x:c>
      <x:c r="G20" s="42" t="str">
        <x:v>Final Reading state after the recorded single activation.</x:v>
      </x:c>
      <x:c r="H20" s="52" t="n">
        <x:v>46269.157534722224</x:v>
      </x:c>
      <x:c r="I20" s="42" t="str">
        <x:v>Is the final selected and active state clear and consistent with the completed request?</x:v>
      </x:c>
      <x:c r="J20" s="42" t="str">
        <x:v>Yes. Reading is selected and active and no stale progress state remains. This endpoint does not prove a queued second request.</x:v>
      </x:c>
      <x:c r="K20" s="42" t="str">
        <x:v>Pass</x:v>
      </x:c>
      <x:c r="L20" s="42"/>
    </x:row>
    <x:row r="21">
      <x:c r="A21" s="42" t="str">
        <x:v>EV-MENU-001</x:v>
      </x:c>
      <x:c r="B21" s="42" t="str">
        <x:v>Screenshot</x:v>
      </x:c>
      <x:c r="C21" s="42" t="str">
        <x:v>PRF-010, MEN-001</x:v>
      </x:c>
      <x:c r="D21" s="42" t="str">
        <x:v>TR-MENU-SWITCH-001</x:v>
      </x:c>
      <x:c r="E21" s="42" t="str">
        <x:v>Debug 2026-09-04</x:v>
      </x:c>
      <x:c r="F21" s="42" t="str">
        <x:v>artifacts/ui/docks-menu-direct-switch-result.jpeg</x:v>
      </x:c>
      <x:c r="G21" s="42" t="str">
        <x:v>Result of a profile switch initiated through the native Docks menu.</x:v>
      </x:c>
      <x:c r="H21" s="52" t="n">
        <x:v>46269.220138888886</x:v>
      </x:c>
      <x:c r="I21" s="42" t="str">
        <x:v>Does the menu action reach the same truthful active state as the main window action?</x:v>
      </x:c>
      <x:c r="J21" s="42" t="str">
        <x:v>Yes. Reading is selected and active, and the window reports the completed switch without another setup flow.</x:v>
      </x:c>
      <x:c r="K21" s="42" t="str">
        <x:v>Pass</x:v>
      </x:c>
      <x:c r="L21" s="42"/>
    </x:row>
    <x:row r="22">
      <x:c r="A22" s="42" t="str">
        <x:v>EV-DELETE-001</x:v>
      </x:c>
      <x:c r="B22" s="42" t="str">
        <x:v>Screenshot</x:v>
      </x:c>
      <x:c r="C22" s="42" t="str">
        <x:v>PRF-007, MEN-002</x:v>
      </x:c>
      <x:c r="D22" s="42" t="str">
        <x:v>TR-DELETE-001</x:v>
      </x:c>
      <x:c r="E22" s="42" t="str">
        <x:v>Debug 2026-09-03</x:v>
      </x:c>
      <x:c r="F22" s="42" t="str">
        <x:v>artifacts/ui/delete-inactive-retest-pass.jpeg</x:v>
      </x:c>
      <x:c r="G22" s="42" t="str">
        <x:v>An inactive profile has been deleted.</x:v>
      </x:c>
      <x:c r="H22" s="52" t="n">
        <x:v>46269.167650462965</x:v>
      </x:c>
      <x:c r="I22" s="42" t="str">
        <x:v>Does the result explain that deletion changed saved profiles but not the current Dock?</x:v>
      </x:c>
      <x:c r="J22" s="42" t="str">
        <x:v>Yes. The status states that the profile was deleted and the current Dock was not changed.</x:v>
      </x:c>
      <x:c r="K22" s="42" t="str">
        <x:v>Pass</x:v>
      </x:c>
      <x:c r="L22" s="42"/>
    </x:row>
    <x:row r="23">
      <x:c r="A23" s="42" t="str">
        <x:v>EV-DELETE-002</x:v>
      </x:c>
      <x:c r="B23" s="42" t="str">
        <x:v>Screenshot</x:v>
      </x:c>
      <x:c r="C23" s="42" t="str">
        <x:v>PRF-007, MEN-002</x:v>
      </x:c>
      <x:c r="D23" s="42" t="str">
        <x:v>TR-DELETE-001</x:v>
      </x:c>
      <x:c r="E23" s="42" t="str">
        <x:v>Debug 2026-09-03</x:v>
      </x:c>
      <x:c r="F23" s="42" t="str">
        <x:v>artifacts/ui/delete-active-warning.jpeg</x:v>
      </x:c>
      <x:c r="G23" s="42" t="str">
        <x:v>Confirmation before deleting the active managed profile.</x:v>
      </x:c>
      <x:c r="H23" s="52" t="n">
        <x:v>46269.16841435185</x:v>
      </x:c>
      <x:c r="I23" s="42" t="str">
        <x:v>Does the warning accurately explain what happens to the real Dock and autosave?</x:v>
      </x:c>
      <x:c r="J23" s="42" t="str">
        <x:v>Yes. It says the Dock stays in place and dockit stops saving its edits until another profile becomes active.</x:v>
      </x:c>
      <x:c r="K23" s="42" t="str">
        <x:v>Pass</x:v>
      </x:c>
      <x:c r="L23" s="42"/>
    </x:row>
    <x:row r="24">
      <x:c r="A24" s="42" t="str">
        <x:v>EV-DELETE-003</x:v>
      </x:c>
      <x:c r="B24" s="42" t="str">
        <x:v>Screenshot</x:v>
      </x:c>
      <x:c r="C24" s="42" t="str">
        <x:v>PRF-007, MEN-002</x:v>
      </x:c>
      <x:c r="D24" s="42" t="str">
        <x:v>TR-DELETE-001</x:v>
      </x:c>
      <x:c r="E24" s="42" t="str">
        <x:v>Debug 2026-09-03</x:v>
      </x:c>
      <x:c r="F24" s="42" t="str">
        <x:v>artifacts/ui/delete-active-retest-pass.jpeg</x:v>
      </x:c>
      <x:c r="G24" s="42" t="str">
        <x:v>Result after confirming deletion of the active non-final profile.</x:v>
      </x:c>
      <x:c r="H24" s="52" t="n">
        <x:v>46269.16841435185</x:v>
      </x:c>
      <x:c r="I24" s="42" t="str">
        <x:v>Is the unmanaged result truthful and does it avoid claiming that another profile is active?</x:v>
      </x:c>
      <x:c r="J24" s="42" t="str">
        <x:v>Yes. No active marker remains, the Dock is described as unchanged, and the status tells the user how to resume management.</x:v>
      </x:c>
      <x:c r="K24" s="42" t="str">
        <x:v>Pass</x:v>
      </x:c>
      <x:c r="L24" s="42"/>
    </x:row>
    <x:row r="25">
      <x:c r="A25" s="42" t="str">
        <x:v>EV-DELETE-004</x:v>
      </x:c>
      <x:c r="B25" s="42" t="str">
        <x:v>Screenshot</x:v>
      </x:c>
      <x:c r="C25" s="42" t="str">
        <x:v>PRF-008, MEN-002</x:v>
      </x:c>
      <x:c r="D25" s="42" t="str">
        <x:v>TR-DELETE-FINAL-001</x:v>
      </x:c>
      <x:c r="E25" s="42" t="str">
        <x:v>Debug 2026-09-03</x:v>
      </x:c>
      <x:c r="F25" s="42" t="str">
        <x:v>artifacts/ui/final-profile-delete-disabled-evidence.png</x:v>
      </x:c>
      <x:c r="G25" s="42" t="str">
        <x:v>The management menu when only one profile remains.</x:v>
      </x:c>
      <x:c r="H25" s="52" t="n">
        <x:v>46269.176712962966</x:v>
      </x:c>
      <x:c r="I25" s="42" t="str">
        <x:v>Is deletion unavailable for the final saved profile?</x:v>
      </x:c>
      <x:c r="J25" s="42" t="str">
        <x:v>Yes. The native Delete item is disabled and the remaining profile stays selected.</x:v>
      </x:c>
      <x:c r="K25" s="42" t="str">
        <x:v>Pass</x:v>
      </x:c>
      <x:c r="L25" s="42"/>
    </x:row>
    <x:row r="26">
      <x:c r="A26" s="42" t="str">
        <x:v>EV-EXPORT-001</x:v>
      </x:c>
      <x:c r="B26" s="42" t="str">
        <x:v>Archive</x:v>
      </x:c>
      <x:c r="C26" s="42" t="str">
        <x:v>XFR-001, XFR-002</x:v>
      </x:c>
      <x:c r="D26" s="42" t="str">
        <x:v>TR-EXPORT-001</x:v>
      </x:c>
      <x:c r="E26" s="42" t="str">
        <x:v>Debug 2026-09-03</x:v>
      </x:c>
      <x:c r="F26" s="42" t="str">
        <x:v>artifacts/ui/Dockit QA Export.dockit</x:v>
      </x:c>
      <x:c r="G26" s="42" t="str">
        <x:v>Versioned local export containing Work and Reading.</x:v>
      </x:c>
      <x:c r="H26" s="52" t="n">
        <x:v>46269.16987268518</x:v>
      </x:c>
      <x:c r="I26" s="42" t="str">
        <x:v>Does the archive contain the selected portable profile fields and exclude account-specific Dock state?</x:v>
      </x:c>
      <x:c r="J26" s="42" t="str">
        <x:v>Yes. The JSON contains version, export date, profile identity, color, app references, and spacers only.</x:v>
      </x:c>
      <x:c r="K26" s="42" t="str">
        <x:v>Pass</x:v>
      </x:c>
      <x:c r="L26" s="42"/>
    </x:row>
    <x:row r="27">
      <x:c r="A27" s="42" t="str">
        <x:v>EV-IMPORT-001</x:v>
      </x:c>
      <x:c r="B27" s="42" t="str">
        <x:v>Screenshot</x:v>
      </x:c>
      <x:c r="C27" s="42" t="str">
        <x:v>XFR-003, XFR-005, MEN-002</x:v>
      </x:c>
      <x:c r="D27" s="42" t="str">
        <x:v>TR-IMPORT-UI-001</x:v>
      </x:c>
      <x:c r="E27" s="42" t="str">
        <x:v>Debug 2026-09-03</x:v>
      </x:c>
      <x:c r="F27" s="42" t="str">
        <x:v>artifacts/ui/import-preview-layout-first-fix.jpeg</x:v>
      </x:c>
      <x:c r="G27" s="42" t="str">
        <x:v>First import preview layout for two colliding profile names.</x:v>
      </x:c>
      <x:c r="H27" s="52" t="n">
        <x:v>46269.172800925924</x:v>
      </x:c>
      <x:c r="I27" s="42" t="str">
        <x:v>Is the collision preview compact and is the result of the primary action immediately clear?</x:v>
      </x:c>
      <x:c r="J27" s="42" t="str">
        <x:v>No. The content is valid, but extra list space weakens the hierarchy and makes the sheet feel unfinished.</x:v>
      </x:c>
      <x:c r="K27" s="42" t="str">
        <x:v>Fail</x:v>
      </x:c>
      <x:c r="L27" s="42"/>
    </x:row>
    <x:row r="28">
      <x:c r="A28" s="42" t="str">
        <x:v>EV-IMPORT-002</x:v>
      </x:c>
      <x:c r="B28" s="42" t="str">
        <x:v>Screenshot</x:v>
      </x:c>
      <x:c r="C28" s="42" t="str">
        <x:v>XFR-003, XFR-005, MEN-002</x:v>
      </x:c>
      <x:c r="D28" s="42" t="str">
        <x:v>TR-IMPORT-UI-002</x:v>
      </x:c>
      <x:c r="E28" s="42" t="str">
        <x:v>Debug 2026-09-03</x:v>
      </x:c>
      <x:c r="F28" s="42" t="str">
        <x:v>artifacts/ui/import-preview-layout-final.jpeg</x:v>
      </x:c>
      <x:c r="G28" s="42" t="str">
        <x:v>Final compact preview for Work 2 and Reading 2.</x:v>
      </x:c>
      <x:c r="H28" s="52" t="n">
        <x:v>46269.17359953704</x:v>
      </x:c>
      <x:c r="I28" s="42" t="str">
        <x:v>Does the sheet clearly show the collision result, scope, and safe actions without wasted space?</x:v>
      </x:c>
      <x:c r="J28" s="42" t="str">
        <x:v>Yes. Both renamed profiles are visible, the copy behavior is explicit, and Cancel and Import 2 Docks are easy to distinguish.</x:v>
      </x:c>
      <x:c r="K28" s="42" t="str">
        <x:v>Pass</x:v>
      </x:c>
      <x:c r="L28" s="42"/>
    </x:row>
    <x:row r="29">
      <x:c r="A29" s="42" t="str">
        <x:v>EV-IMPORT-003</x:v>
      </x:c>
      <x:c r="B29" s="42" t="str">
        <x:v>Screenshot</x:v>
      </x:c>
      <x:c r="C29" s="42" t="str">
        <x:v>XFR-003, XFR-005</x:v>
      </x:c>
      <x:c r="D29" s="42" t="str">
        <x:v>TR-IMPORT-UI-002</x:v>
      </x:c>
      <x:c r="E29" s="42" t="str">
        <x:v>Debug 2026-09-03</x:v>
      </x:c>
      <x:c r="F29" s="42" t="str">
        <x:v>artifacts/ui/import-collision-result.jpeg</x:v>
      </x:c>
      <x:c r="G29" s="42" t="str">
        <x:v>Profile list after importing the two colliding names.</x:v>
      </x:c>
      <x:c r="H29" s="52" t="n">
        <x:v>46269.172800925924</x:v>
      </x:c>
      <x:c r="I29" s="42" t="str">
        <x:v>Did import append renamed copies while preserving the original profiles?</x:v>
      </x:c>
      <x:c r="J29" s="42" t="str">
        <x:v>Yes. Work, Reading, Work 2, and Reading 2 are all present and the active Dock did not change.</x:v>
      </x:c>
      <x:c r="K29" s="42" t="str">
        <x:v>Pass</x:v>
      </x:c>
      <x:c r="L29" s="42"/>
    </x:row>
    <x:row r="30">
      <x:c r="A30" s="42" t="str">
        <x:v>EV-IMPORT-004</x:v>
      </x:c>
      <x:c r="B30" s="42" t="str">
        <x:v>Screenshot</x:v>
      </x:c>
      <x:c r="C30" s="42" t="str">
        <x:v>XFR-004, MEN-002</x:v>
      </x:c>
      <x:c r="D30" s="42" t="str">
        <x:v>TR-IMPORT-MALFORMED-001</x:v>
      </x:c>
      <x:c r="E30" s="42" t="str">
        <x:v>Debug 2026-09-03</x:v>
      </x:c>
      <x:c r="F30" s="42" t="str">
        <x:v>artifacts/ui/import-malformed-error.jpeg</x:v>
      </x:c>
      <x:c r="G30" s="42" t="str">
        <x:v>Error after opening a malformed .dockit file.</x:v>
      </x:c>
      <x:c r="H30" s="52" t="n">
        <x:v>46269.17395833333</x:v>
      </x:c>
      <x:c r="I30" s="42" t="str">
        <x:v>Does the error explain the failed import without exposing file internals or implying any Dock change?</x:v>
      </x:c>
      <x:c r="J30" s="42" t="str">
        <x:v>Yes. It says the Docks could not be reviewed because the file is damaged or unsupported and offers a single native dismissal.</x:v>
      </x:c>
      <x:c r="K30" s="42" t="str">
        <x:v>Pass</x:v>
      </x:c>
      <x:c r="L30" s="42"/>
    </x:row>
    <x:row r="31">
      <x:c r="A31" s="42" t="str">
        <x:v>EV-MISSING-001</x:v>
      </x:c>
      <x:c r="B31" s="42" t="str">
        <x:v>Screenshot</x:v>
      </x:c>
      <x:c r="C31" s="42" t="str">
        <x:v>XFR-006</x:v>
      </x:c>
      <x:c r="D31" s="42" t="str">
        <x:v>TR-MISSING-APP-001</x:v>
      </x:c>
      <x:c r="E31" s="42" t="str">
        <x:v>Debug 2026-09-03</x:v>
      </x:c>
      <x:c r="F31" s="42" t="str">
        <x:v>artifacts/ui/missing-app-before-list-fix.jpeg</x:v>
      </x:c>
      <x:c r="G31" s="42" t="str">
        <x:v>Unavailable Steam review before the list layout fix.</x:v>
      </x:c>
      <x:c r="H31" s="52" t="n">
        <x:v>46269.1471875</x:v>
      </x:c>
      <x:c r="I31" s="42" t="str">
        <x:v>Does the sheet present only meaningful unavailable-app rows?</x:v>
      </x:c>
      <x:c r="J31" s="42" t="str">
        <x:v>No. Steam is retained correctly, but several empty rows make the sheet look broken.</x:v>
      </x:c>
      <x:c r="K31" s="42" t="str">
        <x:v>Fail</x:v>
      </x:c>
      <x:c r="L31" s="42"/>
    </x:row>
    <x:row r="32">
      <x:c r="A32" s="42" t="str">
        <x:v>EV-MISSING-002</x:v>
      </x:c>
      <x:c r="B32" s="42" t="str">
        <x:v>Screenshot</x:v>
      </x:c>
      <x:c r="C32" s="42" t="str">
        <x:v>XFR-006</x:v>
      </x:c>
      <x:c r="D32" s="42" t="str">
        <x:v>TR-MISSING-APP-002</x:v>
      </x:c>
      <x:c r="E32" s="42" t="str">
        <x:v>Debug 2026-09-03</x:v>
      </x:c>
      <x:c r="F32" s="42" t="str">
        <x:v>artifacts/ui/missing-app-review-after.jpeg</x:v>
      </x:c>
      <x:c r="G32" s="42" t="str">
        <x:v>Unavailable Steam review after the list layout fix.</x:v>
      </x:c>
      <x:c r="H32" s="52" t="n">
        <x:v>46269.14818287037</x:v>
      </x:c>
      <x:c r="I32" s="42" t="str">
        <x:v>Is the unavailable item clear, retained, and paired with explicit safe choices?</x:v>
      </x:c>
      <x:c r="J32" s="42" t="str">
        <x:v>Yes. One Steam row remains and the sheet offers Cancel or Switch and Skip Missing Apps.</x:v>
      </x:c>
      <x:c r="K32" s="42" t="str">
        <x:v>Pass</x:v>
      </x:c>
      <x:c r="L32" s="42"/>
    </x:row>
    <x:row r="33">
      <x:c r="A33" s="42" t="str">
        <x:v>EV-MISSING-003</x:v>
      </x:c>
      <x:c r="B33" s="42" t="str">
        <x:v>Screenshot</x:v>
      </x:c>
      <x:c r="C33" s="42" t="str">
        <x:v>XFR-006</x:v>
      </x:c>
      <x:c r="D33" s="42" t="str">
        <x:v>TR-MISSING-APP-002</x:v>
      </x:c>
      <x:c r="E33" s="42" t="str">
        <x:v>Debug 2026-09-03</x:v>
      </x:c>
      <x:c r="F33" s="42" t="str">
        <x:v>artifacts/ui/missing-app-skip-result.jpeg</x:v>
      </x:c>
      <x:c r="G33" s="42" t="str">
        <x:v>Games after explicitly skipping unavailable Steam.</x:v>
      </x:c>
      <x:c r="H33" s="52" t="n">
        <x:v>46269.14818287037</x:v>
      </x:c>
      <x:c r="I33" s="42" t="str">
        <x:v>Did the partial apply keep the unavailable app visible and report the active result?</x:v>
      </x:c>
      <x:c r="J33" s="42" t="str">
        <x:v>Yes. Games is active, Steam remains listed as unavailable, and the status reports the successful active profile.</x:v>
      </x:c>
      <x:c r="K33" s="42" t="str">
        <x:v>Pass</x:v>
      </x:c>
      <x:c r="L33" s="42"/>
    </x:row>
    <x:row r="34">
      <x:c r="A34" s="42" t="str">
        <x:v>EV-SETUP-004</x:v>
      </x:c>
      <x:c r="B34" s="42" t="str">
        <x:v>Screenshot</x:v>
      </x:c>
      <x:c r="C34" s="42" t="str">
        <x:v>PRF-001, PRF-023, PRV-002</x:v>
      </x:c>
      <x:c r="D34" s="42" t="str">
        <x:v>TR-FIRST-LAUNCH-001</x:v>
      </x:c>
      <x:c r="E34" s="42" t="str">
        <x:v>Signed Debug 2026-09-04</x:v>
      </x:c>
      <x:c r="F34" s="42" t="str">
        <x:v>artifacts/ui/real-first-launch-setup.jpeg</x:v>
      </x:c>
      <x:c r="G34" s="42" t="str">
        <x:v>First launch with no local profiles.</x:v>
      </x:c>
      <x:c r="H34" s="52" t="n">
        <x:v>46269.20958333334</x:v>
      </x:c>
      <x:c r="I34" s="42" t="str">
        <x:v>Does setup explain the two profile sources, preserve the current Dock, and avoid any account requirement?</x:v>
      </x:c>
      <x:c r="J34" s="42" t="str">
        <x:v>Yes. Start Empty and Save Current Dock are plain choices, the scope note is clear, and no identity flow appears.</x:v>
      </x:c>
      <x:c r="K34" s="42" t="str">
        <x:v>Pass</x:v>
      </x:c>
      <x:c r="L34" s="42"/>
    </x:row>
    <x:row r="35">
      <x:c r="A35" s="42" t="str">
        <x:v>EV-SETUP-005</x:v>
      </x:c>
      <x:c r="B35" s="42" t="str">
        <x:v>Screenshot</x:v>
      </x:c>
      <x:c r="C35" s="42" t="str">
        <x:v>PRF-001, PRF-023</x:v>
      </x:c>
      <x:c r="D35" s="42" t="str">
        <x:v>TR-FIRST-LAUNCH-001</x:v>
      </x:c>
      <x:c r="E35" s="42" t="str">
        <x:v>Signed Debug 2026-09-04</x:v>
      </x:c>
      <x:c r="F35" s="42" t="str">
        <x:v>artifacts/ui/real-current-dock-captured.jpeg</x:v>
      </x:c>
      <x:c r="G35" s="42" t="str">
        <x:v>Real Current Dock profile after capture.</x:v>
      </x:c>
      <x:c r="H35" s="52" t="n">
        <x:v>46269.20958333334</x:v>
      </x:c>
      <x:c r="I35" s="42" t="str">
        <x:v>Does the result show the captured real Dock items and truthful active state in a native management window?</x:v>
      </x:c>
      <x:c r="J35" s="42" t="str">
        <x:v>Yes. Four real app references are visible, Current Dock is active, and the interface stays separate from the system Dock itself.</x:v>
      </x:c>
      <x:c r="K35" s="42" t="str">
        <x:v>Pass</x:v>
      </x:c>
      <x:c r="L35" s="42"/>
    </x:row>
    <x:row r="36">
      <x:c r="A36" s="42" t="str">
        <x:v>EV-EDITOR-001</x:v>
      </x:c>
      <x:c r="B36" s="42" t="str">
        <x:v>Screenshot</x:v>
      </x:c>
      <x:c r="C36" s="42" t="str">
        <x:v>PRF-021, PRF-023</x:v>
      </x:c>
      <x:c r="D36" s="42" t="str">
        <x:v>TR-EDITOR-LIVE-001</x:v>
      </x:c>
      <x:c r="E36" s="42" t="str">
        <x:v>Signed Debug 2026-09-04</x:v>
      </x:c>
      <x:c r="F36" s="42" t="str">
        <x:v>artifacts/live-app-editor/spacer-added-dock.png</x:v>
      </x:c>
      <x:c r="G36" s="42" t="str">
        <x:v>The real Dock immediately after adding a regular spacer through Dockit.</x:v>
      </x:c>
      <x:c r="H36" s="52" t="n">
        <x:v>46269.21010416667</x:v>
      </x:c>
      <x:c r="I36" s="42" t="str">
        <x:v>Does the native macOS Dock show the requested spacer without a simulated Dock editor?</x:v>
      </x:c>
      <x:c r="J36" s="42" t="str">
        <x:v>Yes. The spacer is visible in the system Dock between the saved app groups.</x:v>
      </x:c>
      <x:c r="K36" s="42" t="str">
        <x:v>Pass</x:v>
      </x:c>
      <x:c r="L36" s="42"/>
    </x:row>
    <x:row r="37">
      <x:c r="A37" s="42" t="str">
        <x:v>EV-EDITOR-002</x:v>
      </x:c>
      <x:c r="B37" s="42" t="str">
        <x:v>Screenshot</x:v>
      </x:c>
      <x:c r="C37" s="42" t="str">
        <x:v>PRF-018, PRF-023</x:v>
      </x:c>
      <x:c r="D37" s="42" t="str">
        <x:v>TR-EDITOR-LIVE-001</x:v>
      </x:c>
      <x:c r="E37" s="42" t="str">
        <x:v>Signed Debug 2026-09-04</x:v>
      </x:c>
      <x:c r="F37" s="42" t="str">
        <x:v>artifacts/live-app-editor/calculator-added-dock.png</x:v>
      </x:c>
      <x:c r="G37" s="42" t="str">
        <x:v>Calculator added directly to the active real Dock.</x:v>
      </x:c>
      <x:c r="H37" s="52" t="n">
        <x:v>46269.21068287037</x:v>
      </x:c>
      <x:c r="I37" s="42" t="str">
        <x:v>Does the real Dock contain the newly pinned app while other saved apps remain in place?</x:v>
      </x:c>
      <x:c r="J37" s="42" t="str">
        <x:v>Yes. Calculator appears as a pinned app in the active Dock and the surrounding sequence remains intact.</x:v>
      </x:c>
      <x:c r="K37" s="42" t="str">
        <x:v>Pass</x:v>
      </x:c>
      <x:c r="L37" s="42"/>
    </x:row>
    <x:row r="38">
      <x:c r="A38" s="42" t="str">
        <x:v>EV-EDITOR-003</x:v>
      </x:c>
      <x:c r="B38" s="42" t="str">
        <x:v>Screenshot</x:v>
      </x:c>
      <x:c r="C38" s="42" t="str">
        <x:v>PRF-020, PRF-023</x:v>
      </x:c>
      <x:c r="D38" s="42" t="str">
        <x:v>TR-EDITOR-LIVE-001</x:v>
      </x:c>
      <x:c r="E38" s="42" t="str">
        <x:v>Signed Debug 2026-09-04</x:v>
      </x:c>
      <x:c r="F38" s="42" t="str">
        <x:v>artifacts/live-app-editor/calculator-moved-before-spacer-dock.png</x:v>
      </x:c>
      <x:c r="G38" s="42" t="str">
        <x:v>Calculator moved to a new pinned position before the spacer.</x:v>
      </x:c>
      <x:c r="H38" s="52" t="n">
        <x:v>46269.21145833333</x:v>
      </x:c>
      <x:c r="I38" s="42" t="str">
        <x:v>Does the system Dock show the requested new app order around the spacer?</x:v>
      </x:c>
      <x:c r="J38" s="42" t="str">
        <x:v>Yes. Calculator is visibly reordered before the spacer and the remaining pinned apps keep their sequence.</x:v>
      </x:c>
      <x:c r="K38" s="42" t="str">
        <x:v>Pass</x:v>
      </x:c>
      <x:c r="L38" s="42"/>
    </x:row>
    <x:row r="39">
      <x:c r="A39" s="42" t="str">
        <x:v>EV-EDITOR-004</x:v>
      </x:c>
      <x:c r="B39" s="42" t="str">
        <x:v>Screenshot</x:v>
      </x:c>
      <x:c r="C39" s="42" t="str">
        <x:v>PRF-019, PRF-022, PRF-023</x:v>
      </x:c>
      <x:c r="D39" s="42" t="str">
        <x:v>TR-EDITOR-LIVE-001</x:v>
      </x:c>
      <x:c r="E39" s="42" t="str">
        <x:v>Signed Debug 2026-09-04</x:v>
      </x:c>
      <x:c r="F39" s="42" t="str">
        <x:v>artifacts/live-app-editor/editor-restored-dock.png</x:v>
      </x:c>
      <x:c r="G39" s="42" t="str">
        <x:v>The real Dock after removing the temporary Calculator and spacer.</x:v>
      </x:c>
      <x:c r="H39" s="52" t="n">
        <x:v>46269.21195601852</x:v>
      </x:c>
      <x:c r="I39" s="42" t="str">
        <x:v>Did app and spacer removal return the active Dock to the saved baseline?</x:v>
      </x:c>
      <x:c r="J39" s="42" t="str">
        <x:v>Yes. Calculator and the test spacer are gone and the original pinned sequence remains.</x:v>
      </x:c>
      <x:c r="K39" s="42" t="str">
        <x:v>Pass</x:v>
      </x:c>
      <x:c r="L39" s="42"/>
    </x:row>
    <x:row r="40">
      <x:c r="A40" s="42" t="str">
        <x:v>EV-EDITOR-005</x:v>
      </x:c>
      <x:c r="B40" s="42" t="str">
        <x:v>Screenshot</x:v>
      </x:c>
      <x:c r="C40" s="42" t="str">
        <x:v>PRF-018</x:v>
      </x:c>
      <x:c r="D40" s="42" t="str">
        <x:v>TR-EDITOR-AUTOSAVE-001</x:v>
      </x:c>
      <x:c r="E40" s="42" t="str">
        <x:v>Signed Debug 2026-09-04</x:v>
      </x:c>
      <x:c r="F40" s="42" t="str">
        <x:v>artifacts/ui/external-dock-edit-autosaved.jpeg</x:v>
      </x:c>
      <x:c r="G40" s="42" t="str">
        <x:v>dockit after observing Calculator added outside the app.</x:v>
      </x:c>
      <x:c r="H40" s="52" t="n">
        <x:v>46269.21474537037</x:v>
      </x:c>
      <x:c r="I40" s="42" t="str">
        <x:v>Does the app show the external Dock change in the active profile and confirm that it was saved?</x:v>
      </x:c>
      <x:c r="J40" s="42" t="str">
        <x:v>Yes. Calculator appears in Current Dock and the status reads Saved changes from the Dock.</x:v>
      </x:c>
      <x:c r="K40" s="42" t="str">
        <x:v>Pass</x:v>
      </x:c>
      <x:c r="L40" s="42"/>
    </x:row>
    <x:row r="41">
      <x:c r="A41" s="42" t="str">
        <x:v>EV-EDITOR-006</x:v>
      </x:c>
      <x:c r="B41" s="42" t="str">
        <x:v>Screenshot</x:v>
      </x:c>
      <x:c r="C41" s="42" t="str">
        <x:v>PRF-019, PRF-022</x:v>
      </x:c>
      <x:c r="D41" s="42" t="str">
        <x:v>TR-EDITOR-LIVE-001</x:v>
      </x:c>
      <x:c r="E41" s="42" t="str">
        <x:v>Signed Debug 2026-09-04</x:v>
      </x:c>
      <x:c r="F41" s="42" t="str">
        <x:v>artifacts/live-app-editor/direct-edit-cleanup-final.png</x:v>
      </x:c>
      <x:c r="G41" s="42" t="str">
        <x:v>Final real Dock cleanup after the direct-edit run.</x:v>
      </x:c>
      <x:c r="H41" s="52" t="n">
        <x:v>46269.214780092596</x:v>
      </x:c>
      <x:c r="I41" s="42" t="str">
        <x:v>Is the temporary test state gone and the user's original Dock restored?</x:v>
      </x:c>
      <x:c r="J41" s="42" t="str">
        <x:v>Yes. The four-app baseline is back and no temporary Calculator or spacer remains.</x:v>
      </x:c>
      <x:c r="K41" s="42" t="str">
        <x:v>Pass</x:v>
      </x:c>
      <x:c r="L41" s="42"/>
    </x:row>
    <x:row r="42">
      <x:c r="A42" s="42" t="str">
        <x:v>EV-METADATA-001</x:v>
      </x:c>
      <x:c r="B42" s="42" t="str">
        <x:v>Screenshot</x:v>
      </x:c>
      <x:c r="C42" s="42" t="str">
        <x:v>PRF-025, PRF-026</x:v>
      </x:c>
      <x:c r="D42" s="42" t="str">
        <x:v>TR-METADATA-002</x:v>
      </x:c>
      <x:c r="E42" s="42" t="str">
        <x:v>Signed Debug 2026-09-04</x:v>
      </x:c>
      <x:c r="F42" s="42" t="str">
        <x:v>artifacts/ui/real-editor-reopen-no-false-reconcile.jpeg</x:v>
      </x:c>
      <x:c r="G42" s="42" t="str">
        <x:v>Relaunch after macOS rewrote Dock-owned tile metadata without a layout change.</x:v>
      </x:c>
      <x:c r="H42" s="52" t="n">
        <x:v>46269.2127662037</x:v>
      </x:c>
      <x:c r="I42" s="42" t="str">
        <x:v>Did dockit avoid a false changed-while-closed sheet while keeping the active profile truthful?</x:v>
      </x:c>
      <x:c r="J42" s="42" t="str">
        <x:v>Yes. Current Dock reopens active and no reconciliation sheet appears.</x:v>
      </x:c>
      <x:c r="K42" s="42" t="str">
        <x:v>Pass</x:v>
      </x:c>
      <x:c r="L42" s="42"/>
    </x:row>
    <x:row r="43">
      <x:c r="A43" s="42" t="str">
        <x:v>EV-LIFE-001</x:v>
      </x:c>
      <x:c r="B43" s="42" t="str">
        <x:v>Screenshot</x:v>
      </x:c>
      <x:c r="C43" s="42" t="str">
        <x:v>PRF-027</x:v>
      </x:c>
      <x:c r="D43" s="42" t="str">
        <x:v>TR-LIFECYCLE-001</x:v>
      </x:c>
      <x:c r="E43" s="42" t="str">
        <x:v>Signed Debug 2026-09-04</x:v>
      </x:c>
      <x:c r="F43" s="42" t="str">
        <x:v>artifacts/ui/real-editor-reopen-no-false-reconcile.jpeg</x:v>
      </x:c>
      <x:c r="G43" s="42" t="str">
        <x:v>Normal quit and relaunch after a real Dock edit cycle.</x:v>
      </x:c>
      <x:c r="H43" s="52" t="n">
        <x:v>46269.2127662037</x:v>
      </x:c>
      <x:c r="I43" s="42" t="str">
        <x:v>Did dockit reload the saved active profile and its items without losing state or showing a false recovery sheet?</x:v>
      </x:c>
      <x:c r="J43" s="42" t="str">
        <x:v>Yes. Current Dock reopens active with the saved item list and no reconciliation sheet.</x:v>
      </x:c>
      <x:c r="K43" s="42" t="str">
        <x:v>Pass</x:v>
      </x:c>
      <x:c r="L43" s="42" t="str">
        <x:v>This does not cover an immediate quit inside the former debounce window.</x:v>
      </x:c>
    </x:row>
    <x:row r="44">
      <x:c r="A44" s="42" t="str">
        <x:v>EV-RECON-001</x:v>
      </x:c>
      <x:c r="B44" s="42" t="str">
        <x:v>Screenshot</x:v>
      </x:c>
      <x:c r="C44" s="42" t="str">
        <x:v>PRF-026, REL-002, REL-003</x:v>
      </x:c>
      <x:c r="D44" s="42" t="str">
        <x:v>TR-RECONCILE-001</x:v>
      </x:c>
      <x:c r="E44" s="42" t="str">
        <x:v>Signed Debug 2026-09-04</x:v>
      </x:c>
      <x:c r="F44" s="42" t="str">
        <x:v>artifacts/ui/closed-app-reconciliation-sheet.jpeg</x:v>
      </x:c>
      <x:c r="G44" s="42" t="str">
        <x:v>Real Dock changed while dockit was closed.</x:v>
      </x:c>
      <x:c r="H44" s="52" t="n">
        <x:v>46269.21672453704</x:v>
      </x:c>
      <x:c r="I44" s="42" t="str">
        <x:v>Does the sheet state what changed, what dockit manages, and every safe recovery choice?</x:v>
      </x:c>
      <x:c r="J44" s="42" t="str">
        <x:v>Yes. The copy is scoped to pinned apps and spacers and the three actions are clear without exposing implementation details.</x:v>
      </x:c>
      <x:c r="K44" s="42" t="str">
        <x:v>Pass</x:v>
      </x:c>
      <x:c r="L44" s="42"/>
    </x:row>
    <x:row r="45">
      <x:c r="A45" s="42" t="str">
        <x:v>EV-RECON-002</x:v>
      </x:c>
      <x:c r="B45" s="42" t="str">
        <x:v>Screenshot</x:v>
      </x:c>
      <x:c r="C45" s="42" t="str">
        <x:v>PRF-026</x:v>
      </x:c>
      <x:c r="D45" s="42" t="str">
        <x:v>TR-RECONCILE-APPLY-001</x:v>
      </x:c>
      <x:c r="E45" s="42" t="str">
        <x:v>Signed Debug 2026-09-04</x:v>
      </x:c>
      <x:c r="F45" s="42" t="str">
        <x:v>artifacts/ui/closed-app-apply-saved-result.jpeg</x:v>
      </x:c>
      <x:c r="G45" s="42" t="str">
        <x:v>Apply Saved Dock before the force-apply correction.</x:v>
      </x:c>
      <x:c r="H45" s="52" t="n">
        <x:v>46269.216944444444</x:v>
      </x:c>
      <x:c r="I45" s="42" t="str">
        <x:v>Does the result prove that the saved layout was reapplied?</x:v>
      </x:c>
      <x:c r="J45" s="42" t="str">
        <x:v>No. The status says the profile is already active, which skips the reconciliation work even though the real Dock differs.</x:v>
      </x:c>
      <x:c r="K45" s="42" t="str">
        <x:v>Fail</x:v>
      </x:c>
      <x:c r="L45" s="42"/>
    </x:row>
    <x:row r="46">
      <x:c r="A46" s="42" t="str">
        <x:v>EV-RECON-003</x:v>
      </x:c>
      <x:c r="B46" s="42" t="str">
        <x:v>Screenshot</x:v>
      </x:c>
      <x:c r="C46" s="42" t="str">
        <x:v>PRF-026</x:v>
      </x:c>
      <x:c r="D46" s="42" t="str">
        <x:v>TR-RECONCILE-APPLY-002</x:v>
      </x:c>
      <x:c r="E46" s="42" t="str">
        <x:v>Signed Debug 2026-09-04</x:v>
      </x:c>
      <x:c r="F46" s="42" t="str">
        <x:v>artifacts/ui/closed-app-apply-saved-post-fix.jpeg</x:v>
      </x:c>
      <x:c r="G46" s="42" t="str">
        <x:v>Apply Saved Dock after the force-apply correction.</x:v>
      </x:c>
      <x:c r="H46" s="52" t="n">
        <x:v>46269.21797453704</x:v>
      </x:c>
      <x:c r="I46" s="42" t="str">
        <x:v>Does this screenshot clearly prove the final saved Dock state?</x:v>
      </x:c>
      <x:c r="J46" s="42" t="str">
        <x:v>No. The capture is too narrow to verify the profile, status, or full Dock. A new screenshot is required even though the functional interaction completed.</x:v>
      </x:c>
      <x:c r="K46" s="42" t="str">
        <x:v>Blocked</x:v>
      </x:c>
      <x:c r="L46" s="42"/>
    </x:row>
    <x:row r="47">
      <x:c r="A47" s="42" t="str">
        <x:v>EV-RECON-004</x:v>
      </x:c>
      <x:c r="B47" s="42" t="str">
        <x:v>Screenshot</x:v>
      </x:c>
      <x:c r="C47" s="42" t="str">
        <x:v>PRF-026, PRF-027</x:v>
      </x:c>
      <x:c r="D47" s="42" t="str">
        <x:v>TR-RECONCILE-SAVE-001</x:v>
      </x:c>
      <x:c r="E47" s="42" t="str">
        <x:v>Signed Debug 2026-09-04</x:v>
      </x:c>
      <x:c r="F47" s="42" t="str">
        <x:v>artifacts/ui/closed-app-save-current-result.jpeg</x:v>
      </x:c>
      <x:c r="G47" s="42" t="str">
        <x:v>Save Current Dock after a change made while dockit was closed.</x:v>
      </x:c>
      <x:c r="H47" s="52" t="n">
        <x:v>46269.21853009259</x:v>
      </x:c>
      <x:c r="I47" s="42" t="str">
        <x:v>Does the result show the active profile adopting the real Dock change and clearing reconciliation?</x:v>
      </x:c>
      <x:c r="J47" s="42" t="str">
        <x:v>Yes. Calculator is present in Current Dock and the status confirms the current changes were saved.</x:v>
      </x:c>
      <x:c r="K47" s="42" t="str">
        <x:v>Pass</x:v>
      </x:c>
      <x:c r="L47" s="42"/>
    </x:row>
    <x:row r="48">
      <x:c r="A48" s="42" t="str">
        <x:v>EV-RECON-005</x:v>
      </x:c>
      <x:c r="B48" s="42" t="str">
        <x:v>Screenshot</x:v>
      </x:c>
      <x:c r="C48" s="42" t="str">
        <x:v>PRF-026, REL-002</x:v>
      </x:c>
      <x:c r="D48" s="42" t="str">
        <x:v>TR-RECONCILE-SAVE-001</x:v>
      </x:c>
      <x:c r="E48" s="42" t="str">
        <x:v>Signed Debug 2026-09-04</x:v>
      </x:c>
      <x:c r="F48" s="42" t="str">
        <x:v>artifacts/ui/closed-app-reconciliation-cleanup-final.jpeg</x:v>
      </x:c>
      <x:c r="G48" s="42" t="str">
        <x:v>Cleanup after both closed-app reconciliation choices were exercised.</x:v>
      </x:c>
      <x:c r="H48" s="52" t="n">
        <x:v>46269.21896990741</x:v>
      </x:c>
      <x:c r="I48" s="42" t="str">
        <x:v>Is the test fixture removed and the saved baseline restored before later tests?</x:v>
      </x:c>
      <x:c r="J48" s="42" t="str">
        <x:v>Yes. The temporary Calculator state is gone and Current Dock is again stable.</x:v>
      </x:c>
      <x:c r="K48" s="42" t="str">
        <x:v>Pass</x:v>
      </x:c>
      <x:c r="L48" s="42"/>
    </x:row>
    <x:row r="49">
      <x:c r="A49" s="42" t="str">
        <x:v>EV-FOCUS-005</x:v>
      </x:c>
      <x:c r="B49" s="42" t="str">
        <x:v>Screenshot</x:v>
      </x:c>
      <x:c r="C49" s="42" t="str">
        <x:v>FOC-006, REL-005</x:v>
      </x:c>
      <x:c r="D49" s="42" t="str">
        <x:v>TR-FOCUS-REGISTRATION-002</x:v>
      </x:c>
      <x:c r="E49" s="42" t="str">
        <x:v>Signed Debug 2026-09-04</x:v>
      </x:c>
      <x:c r="F49" s="42" t="str">
        <x:v>artifacts/ui/release-focus-settings-ready.jpeg</x:v>
      </x:c>
      <x:c r="G49" s="42" t="str">
        <x:v>dockit settings after the embedded extension lookup correction.</x:v>
      </x:c>
      <x:c r="H49" s="52" t="n">
        <x:v>46269.227800925924</x:v>
      </x:c>
      <x:c r="I49" s="42" t="str">
        <x:v>Does dockit recognize the valid Focus extension and provide the correct native setup route?</x:v>
      </x:c>
      <x:c r="J49" s="42" t="str">
        <x:v>Yes. Automatic switching is available and the settings view directs the user to System Settings.</x:v>
      </x:c>
      <x:c r="K49" s="42" t="str">
        <x:v>Pass</x:v>
      </x:c>
      <x:c r="L49" s="42"/>
    </x:row>
    <x:row r="50">
      <x:c r="A50" s="42" t="str">
        <x:v>EV-FOCUS-006</x:v>
      </x:c>
      <x:c r="B50" s="42" t="str">
        <x:v>Screenshot</x:v>
      </x:c>
      <x:c r="C50" s="42" t="str">
        <x:v>FOC-001</x:v>
      </x:c>
      <x:c r="D50" s="42" t="str">
        <x:v>TR-FOCUS-CONFIG-001</x:v>
      </x:c>
      <x:c r="E50" s="42" t="str">
        <x:v>Signed Debug 2026-09-04</x:v>
      </x:c>
      <x:c r="F50" s="42" t="str">
        <x:v>artifacts/ui/focus-profile-menu-debug.png</x:v>
      </x:c>
      <x:c r="G50" s="42" t="str">
        <x:v>System Settings AppEntity profile picker after the first dockit Focus selection.</x:v>
      </x:c>
      <x:c r="H50" s="52" t="n">
        <x:v>46269.24012731481</x:v>
      </x:c>
      <x:c r="I50" s="42" t="str">
        <x:v>Does the single-choice picker show exactly one saved Dock selection and resolve it immediately?</x:v>
      </x:c>
      <x:c r="J50" s="42" t="str">
        <x:v>No. Current Dock and dockit Focus both show checkmarks, and System Settings can keep resolving the old profile until a second selection.</x:v>
      </x:c>
      <x:c r="K50" s="42" t="str">
        <x:v>Fail</x:v>
      </x:c>
      <x:c r="L50" s="42" t="str">
        <x:v>The extension query and App Group catalog were available. This remains a macOS AppEntity selection blocker.</x:v>
      </x:c>
    </x:row>
    <x:row r="51">
      <x:c r="A51" s="42" t="str">
        <x:v>EV-FOCUS-007</x:v>
      </x:c>
      <x:c r="B51" s="42" t="str">
        <x:v>Screenshot</x:v>
      </x:c>
      <x:c r="C51" s="42" t="str">
        <x:v>FOC-001</x:v>
      </x:c>
      <x:c r="D51" s="42" t="str">
        <x:v>TR-FOCUS-CONFIG-002</x:v>
      </x:c>
      <x:c r="E51" s="42" t="str">
        <x:v>Signed Debug 2026-09-04</x:v>
      </x:c>
      <x:c r="F51" s="42" t="str">
        <x:v>artifacts/ui/focus-filter-configured.jpeg</x:v>
      </x:c>
      <x:c r="G51" s="42" t="str">
        <x:v>dockit Test Focus after a successful retried selection.</x:v>
      </x:c>
      <x:c r="H51" s="52" t="n">
        <x:v>46269.24456018519</x:v>
      </x:c>
      <x:c r="I51" s="42" t="str">
        <x:v>Does the saved filter identify the intended dockit profile through a standard System Settings surface?</x:v>
      </x:c>
      <x:c r="J51" s="42" t="str">
        <x:v>Yes. The filter summary reads Use dockit Focus Dock. The screenshot does not remove the earlier repeatability defect.</x:v>
      </x:c>
      <x:c r="K51" s="42" t="str">
        <x:v>Pass</x:v>
      </x:c>
      <x:c r="L51" s="42"/>
    </x:row>
    <x:row r="52">
      <x:c r="A52" s="42" t="str">
        <x:v>EV-FOCUS-008</x:v>
      </x:c>
      <x:c r="B52" s="42" t="str">
        <x:v>Screenshot</x:v>
      </x:c>
      <x:c r="C52" s="42" t="str">
        <x:v>FOC-003, FOC-005</x:v>
      </x:c>
      <x:c r="D52" s="42" t="str">
        <x:v>TR-FOCUS-LIVE-001</x:v>
      </x:c>
      <x:c r="E52" s="42" t="str">
        <x:v>Signed Debug 2026-09-04</x:v>
      </x:c>
      <x:c r="F52" s="42" t="str">
        <x:v>artifacts/ui/focus-activation-active-state.jpeg</x:v>
      </x:c>
      <x:c r="G52" s="42" t="str">
        <x:v>dockit immediately after the configured Focus activates.</x:v>
      </x:c>
      <x:c r="H52" s="52" t="n">
        <x:v>46269.24983796296</x:v>
      </x:c>
      <x:c r="I52" s="42" t="str">
        <x:v>Does dockit show the intended profile as active and attribute the activation to Focus?</x:v>
      </x:c>
      <x:c r="J52" s="42" t="str">
        <x:v>Yes. dockit Focus is selected, marked Active from Focus, and its saved apps and spacer are shown.</x:v>
      </x:c>
      <x:c r="K52" s="42" t="str">
        <x:v>Pass</x:v>
      </x:c>
      <x:c r="L52" s="42"/>
    </x:row>
    <x:row r="53">
      <x:c r="A53" s="42" t="str">
        <x:v>EV-FOCUS-009</x:v>
      </x:c>
      <x:c r="B53" s="42" t="str">
        <x:v>Screenshot</x:v>
      </x:c>
      <x:c r="C53" s="42" t="str">
        <x:v>FOC-004, FOC-005</x:v>
      </x:c>
      <x:c r="D53" s="42" t="str">
        <x:v>TR-FOCUS-LIVE-001</x:v>
      </x:c>
      <x:c r="E53" s="42" t="str">
        <x:v>Signed Debug 2026-09-04</x:v>
      </x:c>
      <x:c r="F53" s="42" t="str">
        <x:v>artifacts/ui/focus-off-leaves-dock.jpeg</x:v>
      </x:c>
      <x:c r="G53" s="42" t="str">
        <x:v>dockit after the mapped Focus turns off.</x:v>
      </x:c>
      <x:c r="H53" s="52" t="n">
        <x:v>46269.25141203704</x:v>
      </x:c>
      <x:c r="I53" s="42" t="str">
        <x:v>Did Focus-off leave the current Dock in place rather than switching to another profile?</x:v>
      </x:c>
      <x:c r="J53" s="42" t="str">
        <x:v>Yes. dockit Focus remains the active profile and no unsolicited switch appears.</x:v>
      </x:c>
      <x:c r="K53" s="42" t="str">
        <x:v>Pass</x:v>
      </x:c>
      <x:c r="L53" s="42"/>
    </x:row>
    <x:row r="54">
      <x:c r="A54" s="42" t="str">
        <x:v>EV-FOCUS-010</x:v>
      </x:c>
      <x:c r="B54" s="42" t="str">
        <x:v>Screenshot</x:v>
      </x:c>
      <x:c r="C54" s="42" t="str">
        <x:v>FOC-004, FOC-005</x:v>
      </x:c>
      <x:c r="D54" s="42" t="str">
        <x:v>TR-FOCUS-MANUAL-001</x:v>
      </x:c>
      <x:c r="E54" s="42" t="str">
        <x:v>Signed Debug 2026-09-04</x:v>
      </x:c>
      <x:c r="F54" s="42" t="str">
        <x:v>artifacts/ui/manual-override-while-focus-on.jpeg</x:v>
      </x:c>
      <x:c r="G54" s="42" t="str">
        <x:v>Manual profile choice while Focus automation has been active.</x:v>
      </x:c>
      <x:c r="H54" s="52" t="n">
        <x:v>46269.25298611111</x:v>
      </x:c>
      <x:c r="I54" s="42" t="str">
        <x:v>Is the manual choice clearly attributed and allowed to replace the Focus-applied Dock?</x:v>
      </x:c>
      <x:c r="J54" s="42" t="str">
        <x:v>Yes. dockit Manual is selected, labeled Active Dock, and described as active without claiming Focus attribution.</x:v>
      </x:c>
      <x:c r="K54" s="42" t="str">
        <x:v>Pass</x:v>
      </x:c>
      <x:c r="L54" s="42"/>
    </x:row>
    <x:row r="55">
      <x:c r="A55" s="42" t="str">
        <x:v>EV-FOCUS-011</x:v>
      </x:c>
      <x:c r="B55" s="42" t="str">
        <x:v>Screenshot</x:v>
      </x:c>
      <x:c r="C55" s="42" t="str">
        <x:v>FOC-004, FOC-005</x:v>
      </x:c>
      <x:c r="D55" s="42" t="str">
        <x:v>TR-FOCUS-MANUAL-001</x:v>
      </x:c>
      <x:c r="E55" s="42" t="str">
        <x:v>Signed Debug 2026-09-04</x:v>
      </x:c>
      <x:c r="F55" s="42" t="str">
        <x:v>artifacts/ui/manual-override-survives-focus-off.jpeg</x:v>
      </x:c>
      <x:c r="G55" s="42" t="str">
        <x:v>Manual Dock after Focus-off.</x:v>
      </x:c>
      <x:c r="H55" s="52" t="n">
        <x:v>46269.25334490741</x:v>
      </x:c>
      <x:c r="I55" s="42" t="str">
        <x:v>Did ending Focus preserve the later manual Dock choice?</x:v>
      </x:c>
      <x:c r="J55" s="42" t="str">
        <x:v>Yes. dockit Manual remains active and the profile source stays manual.</x:v>
      </x:c>
      <x:c r="K55" s="42" t="str">
        <x:v>Pass</x:v>
      </x:c>
      <x:c r="L55" s="42"/>
    </x:row>
    <x:row r="56">
      <x:c r="A56" s="42" t="str">
        <x:v>EV-FOCUS-012</x:v>
      </x:c>
      <x:c r="B56" s="42" t="str">
        <x:v>Screenshot</x:v>
      </x:c>
      <x:c r="C56" s="42" t="str">
        <x:v>FOC-003, FOC-005</x:v>
      </x:c>
      <x:c r="D56" s="42" t="str">
        <x:v>TR-FOCUS-MANUAL-001</x:v>
      </x:c>
      <x:c r="E56" s="42" t="str">
        <x:v>Signed Debug 2026-09-04</x:v>
      </x:c>
      <x:c r="F56" s="42" t="str">
        <x:v>artifacts/ui/focus-reactivation-second-cycle.jpeg</x:v>
      </x:c>
      <x:c r="G56" s="42" t="str">
        <x:v>A later Focus activation after the manual override cycle.</x:v>
      </x:c>
      <x:c r="H56" s="52" t="n">
        <x:v>46269.25377314815</x:v>
      </x:c>
      <x:c r="I56" s="42" t="str">
        <x:v>Can a later real Focus activation apply the mapped Dock again and restore Focus attribution?</x:v>
      </x:c>
      <x:c r="J56" s="42" t="str">
        <x:v>Yes. dockit Focus becomes Active from Focus on the second cycle.</x:v>
      </x:c>
      <x:c r="K56" s="42" t="str">
        <x:v>Pass</x:v>
      </x:c>
      <x:c r="L56" s="42"/>
    </x:row>
    <x:row r="57">
      <x:c r="A57" s="42" t="str">
        <x:v>EV-FOCUS-013</x:v>
      </x:c>
      <x:c r="B57" s="42" t="str">
        <x:v>Log</x:v>
      </x:c>
      <x:c r="C57" s="42" t="str">
        <x:v>FOC-003, FOC-004, FOC-005</x:v>
      </x:c>
      <x:c r="D57" s="42" t="str">
        <x:v>TR-FOCUS-MANUAL-001</x:v>
      </x:c>
      <x:c r="E57" s="42" t="str">
        <x:v>Signed Debug 2026-09-04</x:v>
      </x:c>
      <x:c r="F57" s="42" t="str">
        <x:v>artifacts/live-app-editor/library.json</x:v>
      </x:c>
      <x:c r="G57" s="42" t="str">
        <x:v>Persisted local library after Focus activation, Focus-off, manual override, and later Focus reactivation testing.</x:v>
      </x:c>
      <x:c r="H57" s="52" t="n">
        <x:v>46269.2534375</x:v>
      </x:c>
      <x:c r="I57" s="42" t="str">
        <x:v>Does the local record retain distinct Focus and manual profiles and an explicit active source without cloud state?</x:v>
      </x:c>
      <x:c r="J57" s="42" t="str">
        <x:v>Yes. The versioned local JSON contains the three profiles, saved item sequences, selected profile ID, and timestamped active source.</x:v>
      </x:c>
      <x:c r="K57" s="42" t="str">
        <x:v>Pass</x:v>
      </x:c>
      <x:c r="L57" s="42"/>
    </x:row>
    <x:row r="58">
      <x:c r="A58" s="42" t="str">
        <x:v>EV-CORE-002</x:v>
      </x:c>
      <x:c r="B58" s="42" t="str">
        <x:v>Log</x:v>
      </x:c>
      <x:c r="C58" s="42" t="str">
        <x:v>PRV-001, PRF-006, PRF-008, PRF-018, PRF-025, PRF-026, PRF-027, FOC-003, FOC-004, FOC-005, XFR-003, XFR-004, XFR-005, XFR-006, REL-001, REL-002</x:v>
      </x:c>
      <x:c r="D58" s="42" t="str">
        <x:v>TR-CORE-REGRESSION-004</x:v>
      </x:c>
      <x:c r="E58" s="42" t="str">
        <x:v>Swift 6.3.3, source 2026-09-04</x:v>
      </x:c>
      <x:c r="F58" s="42" t="str">
        <x:v>artifacts/core-tests-20260904.log</x:v>
      </x:c>
      <x:c r="G58" s="42" t="str">
        <x:v>Clean 32-test DockitCore regression after Package.swift warning cleanup.</x:v>
      </x:c>
      <x:c r="H58" s="52" t="n">
        <x:v>46269.26326388889</x:v>
      </x:c>
      <x:c r="I58" s="42" t="str">
        <x:v>Does the durable log show the complete current core suite passing without the earlier package warning?</x:v>
      </x:c>
      <x:c r="J58" s="42" t="str">
        <x:v>Yes. The log records all 32 tests passing in 0.117 seconds and contains no unhandled-file warning.</x:v>
      </x:c>
      <x:c r="K58" s="42" t="str">
        <x:v>Pass</x:v>
      </x:c>
      <x:c r="L58" s="42" t="str">
        <x:v>This is a core regression artifact, not the second complete product sweep.</x:v>
      </x:c>
    </x:row>
    <x:row r="59">
      <x:c r="A59" s="42" t="str">
        <x:v>EV-FOCUS-014</x:v>
      </x:c>
      <x:c r="B59" s="42" t="str">
        <x:v>Screenshot</x:v>
      </x:c>
      <x:c r="C59" s="42" t="str">
        <x:v>FOC-004, FOC-005</x:v>
      </x:c>
      <x:c r="D59" s="42" t="str">
        <x:v>TR-FOCUS-MANUAL-001</x:v>
      </x:c>
      <x:c r="E59" s="42" t="str">
        <x:v>Signed Debug 2026-09-04</x:v>
      </x:c>
      <x:c r="F59" s="42" t="str">
        <x:v>artifacts/ui/manual-override-focus-off.jpeg</x:v>
      </x:c>
      <x:c r="G59" s="42" t="str">
        <x:v>Manual profile after the mapped Focus is turned off.</x:v>
      </x:c>
      <x:c r="H59" s="52" t="n">
        <x:v>46269.25216435185</x:v>
      </x:c>
      <x:c r="I59" s="42" t="str">
        <x:v>Does the manual profile remain active without Focus attribution after Focus-off?</x:v>
      </x:c>
      <x:c r="J59" s="42" t="str">
        <x:v>Yes. dockit Manual remains selected and labeled Active Dock, with no unsolicited profile change.</x:v>
      </x:c>
      <x:c r="K59" s="42" t="str">
        <x:v>Pass</x:v>
      </x:c>
      <x:c r="L59" s="42"/>
    </x:row>
    <x:row r="60">
      <x:c r="A60" s="42" t="str">
        <x:v>EV-FOCUS-015</x:v>
      </x:c>
      <x:c r="B60" s="42" t="str">
        <x:v>Screenshot</x:v>
      </x:c>
      <x:c r="C60" s="42" t="str">
        <x:v>FOC-003, FOC-005</x:v>
      </x:c>
      <x:c r="D60" s="42" t="str">
        <x:v>TR-FOCUS-MANUAL-001</x:v>
      </x:c>
      <x:c r="E60" s="42" t="str">
        <x:v>Signed Debug 2026-09-04</x:v>
      </x:c>
      <x:c r="F60" s="42" t="str">
        <x:v>artifacts/ui/focus-reactivation-after-manual.jpeg</x:v>
      </x:c>
      <x:c r="G60" s="42" t="str">
        <x:v>First capture after a later Focus reactivation.</x:v>
      </x:c>
      <x:c r="H60" s="52" t="n">
        <x:v>46269.252488425926</x:v>
      </x:c>
      <x:c r="I60" s="42" t="str">
        <x:v>Does this image clearly prove that a later Focus activation restored the mapped profile?</x:v>
      </x:c>
      <x:c r="J60" s="42" t="str">
        <x:v>No. The capture is an unusably narrow strip and cannot establish the profile state. EV-FOCUS-012 is the accepted full-window repeat capture.</x:v>
      </x:c>
      <x:c r="K60" s="42" t="str">
        <x:v>Blocked</x:v>
      </x:c>
      <x:c r="L60" s="42"/>
    </x:row>
    <x:row r="61">
      <x:c r="A61" s="42" t="str">
        <x:v>EV-FOCUS-016</x:v>
      </x:c>
      <x:c r="B61" s="42" t="str">
        <x:v>Screenshot</x:v>
      </x:c>
      <x:c r="C61" s="42" t="str">
        <x:v>FOC-003, REL-002</x:v>
      </x:c>
      <x:c r="D61" s="42" t="str">
        <x:v>TR-FOCUS-CLOSED-001</x:v>
      </x:c>
      <x:c r="E61" s="42" t="str">
        <x:v>Signed Debug 2026-09-04</x:v>
      </x:c>
      <x:c r="F61" s="42" t="str">
        <x:v>artifacts/ui/focus-queued-while-app-closed.jpeg</x:v>
      </x:c>
      <x:c r="G61" s="42" t="str">
        <x:v>dockit after a mapped Focus was activated while the app was quit.</x:v>
      </x:c>
      <x:c r="H61" s="52" t="n">
        <x:v>46269.26215277778</x:v>
      </x:c>
      <x:c r="I61" s="42" t="str">
        <x:v>Did the queued Focus-on request survive until dockit launched and apply the mapped profile?</x:v>
      </x:c>
      <x:c r="J61" s="42" t="str">
        <x:v>Yes. dockit Focus is active, attributed to Focus, and its saved app and spacer sequence is visible.</x:v>
      </x:c>
      <x:c r="K61" s="42" t="str">
        <x:v>Pass</x:v>
      </x:c>
      <x:c r="L61" s="42"/>
    </x:row>
    <x:row r="62">
      <x:c r="A62" s="42" t="str">
        <x:v>EV-FOCUS-017</x:v>
      </x:c>
      <x:c r="B62" s="42" t="str">
        <x:v>Screenshot</x:v>
      </x:c>
      <x:c r="C62" s="42" t="str">
        <x:v>FOC-004, FOC-005, REL-002</x:v>
      </x:c>
      <x:c r="D62" s="42" t="str">
        <x:v>TR-FOCUS-CLOSED-002</x:v>
      </x:c>
      <x:c r="E62" s="42" t="str">
        <x:v>Signed Debug 2026-09-04</x:v>
      </x:c>
      <x:c r="F62" s="42" t="str">
        <x:v>artifacts/ui/focus-off-queued-while-app-closed.jpeg</x:v>
      </x:c>
      <x:c r="G62" s="42" t="str">
        <x:v>dockit after a newer Focus-off request was queued while the app was quit.</x:v>
      </x:c>
      <x:c r="H62" s="52" t="n">
        <x:v>46269.2678125</x:v>
      </x:c>
      <x:c r="I62" s="42" t="str">
        <x:v>Did the newer Focus-off event preserve the manual profile rather than applying another Dock?</x:v>
      </x:c>
      <x:c r="J62" s="42" t="str">
        <x:v>Yes. dockit Manual remains selected and active after relaunch.</x:v>
      </x:c>
      <x:c r="K62" s="42" t="str">
        <x:v>Pass</x:v>
      </x:c>
      <x:c r="L62" s="42"/>
    </x:row>
    <x:row r="63">
      <x:c r="A63" s="42" t="str">
        <x:v>EV-FOCUS-018</x:v>
      </x:c>
      <x:c r="B63" s="42" t="str">
        <x:v>Log</x:v>
      </x:c>
      <x:c r="C63" s="42" t="str">
        <x:v>FOC-004, FOC-005, REL-002</x:v>
      </x:c>
      <x:c r="D63" s="42" t="str">
        <x:v>TR-FOCUS-CLOSED-002</x:v>
      </x:c>
      <x:c r="E63" s="42" t="str">
        <x:v>Signed Debug 2026-09-04</x:v>
      </x:c>
      <x:c r="F63" s="42" t="str">
        <x:v>artifacts/live-app-editor/library.json</x:v>
      </x:c>
      <x:c r="G63" s="42" t="str">
        <x:v>Persisted library after the closed-app Focus-off test.</x:v>
      </x:c>
      <x:c r="H63" s="52" t="n">
        <x:v>46269.2684375</x:v>
      </x:c>
      <x:c r="I63" s="42" t="str">
        <x:v>Does the saved local state retain the manual profile source after the newer Focus-off event?</x:v>
      </x:c>
      <x:c r="J63" s="42" t="str">
        <x:v>Yes. The active profile points to dockit Manual and its source remains manual.</x:v>
      </x:c>
      <x:c r="K63" s="42" t="str">
        <x:v>Pass</x:v>
      </x:c>
      <x:c r="L63" s="42"/>
    </x:row>
    <x:row r="64">
      <x:c r="A64" s="42" t="str">
        <x:v>EV-FOCUS-019</x:v>
      </x:c>
      <x:c r="B64" s="42" t="str">
        <x:v>Screenshot</x:v>
      </x:c>
      <x:c r="C64" s="42" t="str">
        <x:v>FOC-003, FOC-005, REL-001</x:v>
      </x:c>
      <x:c r="D64" s="42" t="str">
        <x:v>TR-FOCUS-RACE-001</x:v>
      </x:c>
      <x:c r="E64" s="42" t="str">
        <x:v>Signed Debug 2026-09-04</x:v>
      </x:c>
      <x:c r="F64" s="42" t="str">
        <x:v>artifacts/ui/focus-manual-race-later-manual-wins.jpeg</x:v>
      </x:c>
      <x:c r="G64" s="42" t="str">
        <x:v>Settled state after a near-simultaneous Focus and manual activation attempt.</x:v>
      </x:c>
      <x:c r="H64" s="52" t="n">
        <x:v>46269.25549768518</x:v>
      </x:c>
      <x:c r="I64" s="42" t="str">
        <x:v>Does the screenshot prove that the event created later won the race?</x:v>
      </x:c>
      <x:c r="J64" s="42" t="str">
        <x:v>No. It shows dockit Manual active, but does not contain the two event timestamps or a continuous sequence.</x:v>
      </x:c>
      <x:c r="K64" s="42" t="str">
        <x:v>Blocked</x:v>
      </x:c>
      <x:c r="L64" s="42" t="str">
        <x:v>Repeat with timestamp capture and recording before using this as ordering evidence.</x:v>
      </x:c>
    </x:row>
    <x:row r="65">
      <x:c r="A65" s="42" t="str">
        <x:v>EV-FOCUS-020</x:v>
      </x:c>
      <x:c r="B65" s="42" t="str">
        <x:v>Other</x:v>
      </x:c>
      <x:c r="C65" s="42" t="str">
        <x:v>FOC-001</x:v>
      </x:c>
      <x:c r="D65" s="42" t="str">
        <x:v>TR-FOCUS-QUERY-AB-002</x:v>
      </x:c>
      <x:c r="E65" s="42" t="str">
        <x:v>Source 2026-09-04 after A/B tests</x:v>
      </x:c>
      <x:c r="F65" s="42" t="str">
        <x:v>Sources/DockitFocusExtension/DockFocusFilterIntent.swift</x:v>
      </x:c>
      <x:c r="G65" s="42" t="str">
        <x:v>Final query implementation after the two System Settings A/B attempts.</x:v>
      </x:c>
      <x:c r="H65" s="52" t="n">
        <x:v>46269.27390046296</x:v>
      </x:c>
      <x:c r="I65" s="42" t="str">
        <x:v>Does the current source retain the only query shape that populated the picker while avoiding ineffective suggestions?</x:v>
      </x:c>
      <x:c r="J65" s="42" t="str">
        <x:v>Yes. EnumerableEntityQuery is retained and suggestedFocusFilters is absent. Immediate first-selection refresh remains blocked in System Settings.</x:v>
      </x:c>
      <x:c r="K65" s="42" t="str">
        <x:v>Blocked</x:v>
      </x:c>
      <x:c r="L65" s="42"/>
    </x:row>
    <x:row r="66">
      <x:c r="A66" s="42" t="str">
        <x:v>EV-MOTION-001</x:v>
      </x:c>
      <x:c r="B66" s="42" t="str">
        <x:v>Other</x:v>
      </x:c>
      <x:c r="C66" s="42" t="str">
        <x:v>PRF-009, PRF-010, PRF-025, MEN-006, REL-003</x:v>
      </x:c>
      <x:c r="D66" s="42" t="str">
        <x:v>TR-ACTIVATION-QUEUE-001</x:v>
      </x:c>
      <x:c r="E66" s="42" t="str">
        <x:v>Review 2026-09-04</x:v>
      </x:c>
      <x:c r="F66" s="42" t="str">
        <x:v>docs/activation-queue-motion-review.md</x:v>
      </x:c>
      <x:c r="G66" s="42" t="str">
        <x:v>Frame and source review of activation-queue-motion.mov.</x:v>
      </x:c>
      <x:c r="H66" s="52" t="n">
        <x:v>46269.266921296294</x:v>
      </x:c>
      <x:c r="I66" s="42" t="str">
        <x:v>Does the supplied recording prove timely native feedback, interruption behavior, queueing, and Reduce Motion?</x:v>
      </x:c>
      <x:c r="J66" s="42" t="str">
        <x:v>The single activation passes timing, continuity, and native feedback. Queueing, interruption, Reduce Motion, and a real Dock transition are not present.</x:v>
      </x:c>
      <x:c r="K66" s="42" t="str">
        <x:v>Blocked</x:v>
      </x:c>
      <x:c r="L66" s="42" t="str">
        <x:v>One continuous rapid-request recording under Reduce Motion is still required.</x:v>
      </x:c>
    </x:row>
    <x:row r="67">
      <x:c r="A67" s="42" t="str">
        <x:v>EV-ICON-REDESIGN-01</x:v>
      </x:c>
      <x:c r="B67" s="42" t="str">
        <x:v>Screenshot</x:v>
      </x:c>
      <x:c r="C67" s="42" t="str">
        <x:v>UX-002</x:v>
      </x:c>
      <x:c r="D67" s="42" t="str">
        <x:v>TR-ICON-REDESIGN-01</x:v>
      </x:c>
      <x:c r="E67" s="42" t="str">
        <x:v>working tree 2026-09-04</x:v>
      </x:c>
      <x:c r="F67" s="42" t="str">
        <x:v>artifacts/ui/menu-bar-icon-rejected.png</x:v>
      </x:c>
      <x:c r="G67" s="42" t="str">
        <x:v>Rejected first menu bar template at true size in light and dark menu contexts.</x:v>
      </x:c>
      <x:c r="H67" s="52" t="n">
        <x:v>46269.70723407407</x:v>
      </x:c>
      <x:c r="I67" s="42" t="str">
        <x:v>Does this move dockit closer to a native, obvious, zero-truncation profile switcher?</x:v>
      </x:c>
      <x:c r="J67" s="42" t="str">
        <x:v>No. The thin outline disappears at true menu bar size, leaving only two dots and an unclear identity.</x:v>
      </x:c>
      <x:c r="K67" s="42" t="str">
        <x:v>Fail</x:v>
      </x:c>
      <x:c r="L67" s="42"/>
    </x:row>
    <x:row r="68">
      <x:c r="A68" s="42" t="str">
        <x:v>EV-APP-ICON-01</x:v>
      </x:c>
      <x:c r="B68" s="42" t="str">
        <x:v>Screenshot</x:v>
      </x:c>
      <x:c r="C68" s="42" t="str">
        <x:v>UX-002</x:v>
      </x:c>
      <x:c r="D68" s="42" t="str">
        <x:v>TR-ICON-REDESIGN-02</x:v>
      </x:c>
      <x:c r="E68" s="42" t="str">
        <x:v>working tree 2026-09-04</x:v>
      </x:c>
      <x:c r="F68" s="42" t="str">
        <x:v>artifacts/ui/icon-size-review.png</x:v>
      </x:c>
      <x:c r="G68" s="42" t="str">
        <x:v>Selected dockling app icon at 16 through 256 pixels on light and dark surfaces.</x:v>
      </x:c>
      <x:c r="H68" s="52" t="n">
        <x:v>46269.70723413194</x:v>
      </x:c>
      <x:c r="I68" s="42" t="str">
        <x:v>Does this move dockit closer to a native, obvious, zero-truncation profile switcher?</x:v>
      </x:c>
      <x:c r="J68" s="42" t="str">
        <x:v>Yes. The original character, app tiles, and translucent Dock tray form a distinct identity that remains recognizable at the smallest reviewed size.</x:v>
      </x:c>
      <x:c r="K68" s="42" t="str">
        <x:v>Pass</x:v>
      </x:c>
      <x:c r="L68" s="42"/>
    </x:row>
    <x:row r="69">
      <x:c r="A69" s="42" t="str">
        <x:v>EV-MENUBAR-ICON-01</x:v>
      </x:c>
      <x:c r="B69" s="42" t="str">
        <x:v>Screenshot</x:v>
      </x:c>
      <x:c r="C69" s="42" t="str">
        <x:v>UX-002</x:v>
      </x:c>
      <x:c r="D69" s="42" t="str">
        <x:v>TR-ICON-REDESIGN-02</x:v>
      </x:c>
      <x:c r="E69" s="42" t="str">
        <x:v>working tree 2026-09-04</x:v>
      </x:c>
      <x:c r="F69" s="42" t="str">
        <x:v>artifacts/ui/menu-bar-icon-review.png</x:v>
      </x:c>
      <x:c r="G69" s="42" t="str">
        <x:v>Revised dockling template at 18 points in light and dark menu contexts.</x:v>
      </x:c>
      <x:c r="H69" s="52" t="n">
        <x:v>46269.707234166664</x:v>
      </x:c>
      <x:c r="I69" s="42" t="str">
        <x:v>Does this move dockit closer to a native, obvious, zero-truncation profile switcher?</x:v>
      </x:c>
      <x:c r="J69" s="42" t="str">
        <x:v>Yes. The bolder template retains the mascot and Dock tray at true menu bar scale without using color or a downscaled app icon.</x:v>
      </x:c>
      <x:c r="K69" s="42" t="str">
        <x:v>Pass</x:v>
      </x:c>
      <x:c r="L69" s="42"/>
    </x:row>
    <x:row r="70">
      <x:c r="A70" s="42" t="str">
        <x:v>EV-REDESIGN-SOURCE-001</x:v>
      </x:c>
      <x:c r="B70" s="42" t="str">
        <x:v>Other</x:v>
      </x:c>
      <x:c r="C70" s="42" t="str">
        <x:v>PRV-001, PRF-001, PRF-010, PRF-018, PRF-023, PRF-030, PRF-033, MEN-001, MEN-007, REL-006, REL-008, LED-001, PRF-007, PRF-034, MEN-004, XFR-006</x:v>
      </x:c>
      <x:c r="D70" s="42" t="str">
        <x:v>TR-CODE-REDESIGN-AUDIT-001</x:v>
      </x:c>
      <x:c r="E70" s="42" t="str">
        <x:v>source 2026-09-04</x:v>
      </x:c>
      <x:c r="F70" s="42" t="str">
        <x:v>artifacts/ledger/redesign-source-audit-20260904.md</x:v>
      </x:c>
      <x:c r="G70" s="42" t="str">
        <x:v>Static record of old-code findings, bounded source corrections, and the remaining verification boundary.</x:v>
      </x:c>
      <x:c r="H70" s="52" t="n">
        <x:v>46269.854166666664</x:v>
      </x:c>
      <x:c r="I70" s="42" t="str">
        <x:v>Does this evidence distinguish corrected source paths from user behavior that still needs runtime proof?</x:v>
      </x:c>
      <x:c r="J70" s="42" t="str">
        <x:v>Yes. It records the source corrections and explicitly leaves UI, motion, live Focus, and real Dock behavior unverified.</x:v>
      </x:c>
      <x:c r="K70" s="42" t="str">
        <x:v>Pass</x:v>
      </x:c>
      <x:c r="L70" s="42" t="str">
        <x:v>This is source-review evidence, not a screenshot or runtime interaction result.</x:v>
      </x:c>
    </x:row>
    <x:row r="71">
      <x:c r="A71" s="42" t="str">
        <x:v>EV-CORE-V2-001</x:v>
      </x:c>
      <x:c r="B71" s="42" t="str">
        <x:v>Log</x:v>
      </x:c>
      <x:c r="C71" s="42" t="str">
        <x:v>PRV-001, PRF-006, PRF-008, PRF-020, PRF-022, PRF-024, PRF-025, PRF-029, PRF-031, PRF-032, PRF-033, PRF-034, FOC-003, FOC-004, FOC-005, XFR-003, XFR-004, XFR-005, XFR-006, REL-001, REL-002, REL-006, REL-007, REL-008, MOT-004</x:v>
      </x:c>
      <x:c r="D71" s="42" t="str">
        <x:v>TR-CORE-V2-001</x:v>
      </x:c>
      <x:c r="E71" s="42" t="str">
        <x:v>Swift 6.3.3, source 2026-09-04</x:v>
      </x:c>
      <x:c r="F71" s="42" t="str">
        <x:v>artifacts/ledger/core-v2-race-regression-20260904.log</x:v>
      </x:c>
      <x:c r="G71" s="42" t="str">
        <x:v>Complete isolated DockitCore run covering library v2, migration, saved and applied layouts, interruption state, ordered item operations, baseline races, reload fallback, and unavailable-item reconciliation.</x:v>
      </x:c>
      <x:c r="H71" s="52" t="n">
        <x:v>46269.85613425926</x:v>
      </x:c>
      <x:c r="I71" s="42" t="str">
        <x:v>Does the durable log prove the complete current core suite passed without touching the real Dock?</x:v>
      </x:c>
      <x:c r="J71" s="42" t="str">
        <x:v>Yes. It records 75 Swift Testing passes and 8 XCTest passes with zero failures. Fixtures and injected services avoid real Dock mutation.</x:v>
      </x:c>
      <x:c r="K71" s="42" t="str">
        <x:v>Pass</x:v>
      </x:c>
      <x:c r="L71" s="42" t="str">
        <x:v>The log does not prove app UI, motion, live Focus behavior, or real Dock preservation.</x:v>
      </x:c>
    </x:row>
    <x:row r="72">
      <x:c r="A72" s="42" t="str">
        <x:v>EV-LEDGER-TOOL-001</x:v>
      </x:c>
      <x:c r="B72" s="42" t="str">
        <x:v>Log</x:v>
      </x:c>
      <x:c r="C72" s="42" t="str">
        <x:v>LED-001</x:v>
      </x:c>
      <x:c r="D72" s="42" t="str">
        <x:v>TR-LEDGER-TOOL-001</x:v>
      </x:c>
      <x:c r="E72" s="42" t="str">
        <x:v>Node test runner, source 2026-09-04</x:v>
      </x:c>
      <x:c r="F72" s="42" t="str">
        <x:v>artifacts/ledger/feature-ledger-tests-20260904.log</x:v>
      </x:c>
      <x:c r="G72" s="42" t="str">
        <x:v>Ledger tool regression suite after adding existing-story definition updates and the append-only execution decision audit.</x:v>
      </x:c>
      <x:c r="H72" s="52" t="n">
        <x:v>46269.85648148148</x:v>
      </x:c>
      <x:c r="I72" s="42" t="str">
        <x:v>Does the log prove revised story definitions retain execution history and new decisions stay below skill routes?</x:v>
      </x:c>
      <x:c r="J72" s="42" t="str">
        <x:v>Yes. Both dedicated regressions and all 12 existing checks passed, for 14 passing tests total.</x:v>
      </x:c>
      <x:c r="K72" s="42" t="str">
        <x:v>Pass</x:v>
      </x:c>
      <x:c r="L72" s="42" t="str">
        <x:v>This validates the canonical tracker tool, not product behavior.</x:v>
      </x:c>
    </x:row>
    <x:row r="73">
      <x:c r="A73" s="42" t="str">
        <x:v>EV-APP-MODEL-RED-001</x:v>
      </x:c>
      <x:c r="B73" s="42" t="str">
        <x:v>Log</x:v>
      </x:c>
      <x:c r="C73" s="42" t="str">
        <x:v>PRF-024, PRF-026, XFR-006, REL-001, REL-002, REL-006, REL-008</x:v>
      </x:c>
      <x:c r="D73" s="42" t="str">
        <x:v>TR-APP-MODEL-RED-001</x:v>
      </x:c>
      <x:c r="E73" s="42" t="str">
        <x:v>hosted app model before five fixes, 2026-09-04</x:v>
      </x:c>
      <x:c r="F73" s="42" t="str">
        <x:v>artifacts/ledger/app-model-red-summary-20260904.json; artifacts/app-model-tests/red-regression-2.xcresult</x:v>
      </x:c>
      <x:c r="G73" s="42" t="str">
        <x:v>Intentional red run for five observed AppModel persistence, recovery, unavailable-app, and autosave failures.</x:v>
      </x:c>
      <x:c r="H73" s="52" t="n">
        <x:v>46269.86599537037</x:v>
      </x:c>
      <x:c r="I73" s="42" t="str">
        <x:v>Does this result reproduce each observed old-code failure before its fix?</x:v>
      </x:c>
      <x:c r="J73" s="42" t="str">
        <x:v>Yes. Five named regressions failed while five existing checks passed.</x:v>
      </x:c>
      <x:c r="K73" s="42" t="str">
        <x:v>Fail</x:v>
      </x:c>
      <x:c r="L73" s="42" t="str">
        <x:v>This is model evidence only and does not touch the real Dock.</x:v>
      </x:c>
    </x:row>
    <x:row r="74">
      <x:c r="A74" s="42" t="str">
        <x:v>EV-APP-MODEL-GREEN-001</x:v>
      </x:c>
      <x:c r="B74" s="42" t="str">
        <x:v>Log</x:v>
      </x:c>
      <x:c r="C74" s="42" t="str">
        <x:v>PRF-009, PRF-010, PRF-024, PRF-025, PRF-026, PRF-030, PRF-031, PRF-032, PRF-033, XFR-006, REL-001, REL-002, REL-006, REL-008</x:v>
      </x:c>
      <x:c r="D74" s="42" t="str">
        <x:v>TR-APP-MODEL-GREEN-001</x:v>
      </x:c>
      <x:c r="E74" s="42" t="str">
        <x:v>hosted app model after five fixes, 2026-09-04</x:v>
      </x:c>
      <x:c r="F74" s="42" t="str">
        <x:v>artifacts/ledger/app-model-green-summary-20260904.json; artifacts/ledger/app-model-green-tests-20260904.json; artifacts/app-model-tests/fix-regression-1.xcresult; artifacts/app-model-tests/fix-regression-2.xcresult</x:v>
      </x:c>
      <x:c r="G74" s="42" t="str">
        <x:v>Two unchanged 14-test sweeps covering saved and applied state, editing, reconciliation, persistence failure, coalescing, rollback, and unavailable apps.</x:v>
      </x:c>
      <x:c r="H74" s="52" t="n">
        <x:v>46269.8680787037</x:v>
      </x:c>
      <x:c r="I74" s="42" t="str">
        <x:v>Do the fixes pass the model regressions twice without changing source between runs?</x:v>
      </x:c>
      <x:c r="J74" s="42" t="str">
        <x:v>Yes. Both result bundles report 14 passes, zero failures, and zero skips.</x:v>
      </x:c>
      <x:c r="K74" s="42" t="str">
        <x:v>Pass</x:v>
      </x:c>
      <x:c r="L74" s="42" t="str">
        <x:v>These fixtures use mock preferences and reloaders. They do not prove native UI or real Dock behavior.</x:v>
      </x:c>
    </x:row>
    <x:row r="75">
      <x:c r="A75" s="42" t="str">
        <x:v>EV-FOCUS-RED-001</x:v>
      </x:c>
      <x:c r="B75" s="42" t="str">
        <x:v>Log</x:v>
      </x:c>
      <x:c r="C75" s="42" t="str">
        <x:v>PRF-009, PRF-010, PRF-025, PRF-026, PRF-032, PRF-033, FOC-003, FOC-005, REL-001, REL-002, REL-006</x:v>
      </x:c>
      <x:c r="D75" s="42" t="str">
        <x:v>TR-FOCUS-MODEL-RED-001</x:v>
      </x:c>
      <x:c r="E75" s="42" t="str">
        <x:v>hosted app model before Focus queue fixes, 2026-09-04</x:v>
      </x:c>
      <x:c r="F75" s="42" t="str">
        <x:v>artifacts/ledger/app-model-focus-red-summary-20260904.json; artifacts/app-model-tests/focus-red-regression.xcresult.zip</x:v>
      </x:c>
      <x:c r="G75" s="42" t="str">
        <x:v>Intentional red run using the in-process Focus request processor and mock Dock services.</x:v>
      </x:c>
      <x:c r="H75" s="52" t="n">
        <x:v>46269.87013888889</x:v>
      </x:c>
      <x:c r="I75" s="42" t="str">
        <x:v>Does the run reproduce blocked inspection and newer manual requests during Focus processing?</x:v>
      </x:c>
      <x:c r="J75" s="42" t="str">
        <x:v>Yes. Three new cases failed while 14 prior model checks passed.</x:v>
      </x:c>
      <x:c r="K75" s="42" t="str">
        <x:v>Fail</x:v>
      </x:c>
      <x:c r="L75" s="42" t="str">
        <x:v>No real macOS Focus was activated.</x:v>
      </x:c>
    </x:row>
    <x:row r="76">
      <x:c r="A76" s="42" t="str">
        <x:v>EV-FOCUS-GUARD-001</x:v>
      </x:c>
      <x:c r="B76" s="42" t="str">
        <x:v>Log</x:v>
      </x:c>
      <x:c r="C76" s="42" t="str">
        <x:v>PRF-025, PRF-026, PRF-032, FOC-003, FOC-005, REL-001, REL-002, REL-006</x:v>
      </x:c>
      <x:c r="D76" s="42" t="str">
        <x:v>TR-FOCUS-GUARD-RED-001</x:v>
      </x:c>
      <x:c r="E76" s="42" t="str">
        <x:v>hosted app model after guard fix and before request-scoping fix, 2026-09-04</x:v>
      </x:c>
      <x:c r="F76" s="42" t="str">
        <x:v>artifacts/ledger/app-model-focus-guard-fix-summary-20260904.json; artifacts/app-model-tests/focus-guard-fix-regression.xcresult.zip</x:v>
      </x:c>
      <x:c r="G76" s="42" t="str">
        <x:v>Intermediate run isolating reconciliation approval state after the processor guard was fixed.</x:v>
      </x:c>
      <x:c r="H76" s="52" t="n">
        <x:v>46269.870833333334</x:v>
      </x:c>
      <x:c r="I76" s="42" t="str">
        <x:v>Does the run isolate a shared approved snapshot leaking into a queued manual apply?</x:v>
      </x:c>
      <x:c r="J76" s="42" t="str">
        <x:v>Yes. Sixteen tests passed and the single remaining recovery case failed at the leaked snapshot.</x:v>
      </x:c>
      <x:c r="K76" s="42" t="str">
        <x:v>Fail</x:v>
      </x:c>
      <x:c r="L76" s="42" t="str">
        <x:v>This is request-queue model evidence, not a live Focus result.</x:v>
      </x:c>
    </x:row>
    <x:row r="77">
      <x:c r="A77" s="42" t="str">
        <x:v>EV-FOCUS-MODEL-GREEN-001</x:v>
      </x:c>
      <x:c r="B77" s="42" t="str">
        <x:v>Log</x:v>
      </x:c>
      <x:c r="C77" s="42" t="str">
        <x:v>PRF-009, PRF-010, PRF-025, PRF-026, PRF-032, PRF-033, FOC-003, FOC-005, REL-001, REL-002, REL-006</x:v>
      </x:c>
      <x:c r="D77" s="42" t="str">
        <x:v>TR-FOCUS-MODEL-GREEN-001</x:v>
      </x:c>
      <x:c r="E77" s="42" t="str">
        <x:v>hosted app model after Focus queue fixes, 2026-09-04</x:v>
      </x:c>
      <x:c r="F77" s="42" t="str">
        <x:v>artifacts/ledger/app-model-focus-green-summary-20260904.json; artifacts/ledger/app-model-focus-green-tests-20260904.json; artifacts/app-model-tests/focus-fix-regression-1.xcresult.zip; artifacts/app-model-tests/focus-fix-regression-2.xcresult.zip</x:v>
      </x:c>
      <x:c r="G77" s="42" t="str">
        <x:v>Two unchanged 17-test sweeps after narrowing mutation guards and moving reviewed snapshots onto individual queued activations.</x:v>
      </x:c>
      <x:c r="H77" s="52" t="n">
        <x:v>46269.87222222222</x:v>
      </x:c>
      <x:c r="I77" s="42" t="str">
        <x:v>Do the processor and recovery corrections pass twice without a skip?</x:v>
      </x:c>
      <x:c r="J77" s="42" t="str">
        <x:v>Yes. Both runs passed 17 of 17 tests with zero failures and zero skips.</x:v>
      </x:c>
      <x:c r="K77" s="42" t="str">
        <x:v>Pass</x:v>
      </x:c>
      <x:c r="L77" s="42" t="str">
        <x:v>Live macOS Focus, Focus settings, and real Dock behavior remain unverified.</x:v>
      </x:c>
    </x:row>
    <x:row r="78">
      <x:c r="A78" s="42" t="str">
        <x:v>EV-MENU-MODEL-GREEN-001</x:v>
      </x:c>
      <x:c r="B78" s="42" t="str">
        <x:v>Log</x:v>
      </x:c>
      <x:c r="C78" s="42" t="str">
        <x:v>MEN-001, MEN-002, MEN-005, MEN-007, BRD-001</x:v>
      </x:c>
      <x:c r="D78" s="42" t="str">
        <x:v>TR-MENU-MODEL-GREEN-001</x:v>
      </x:c>
      <x:c r="E78" s="42" t="str">
        <x:v>hosted app model with menu lifecycle repair, 2026-09-04</x:v>
      </x:c>
      <x:c r="F78" s="42" t="str">
        <x:v>artifacts/ledger/app-model-menu-green-summary-20260904.json; artifacts/ledger/app-model-menu-green-tests-20260904.json; artifacts/app-model-tests/menu-regression-1.xcresult.zip</x:v>
      </x:c>
      <x:c r="G78" s="42" t="str">
        <x:v>Seventeen app-model tests and three disconnected native menu replacement and repair tests.</x:v>
      </x:c>
      <x:c r="H78" s="52" t="n">
        <x:v>46269.882314814815</x:v>
      </x:c>
      <x:c r="I78" s="42" t="str">
        <x:v>Does the menu repair restore dockit's menu while preserving actions, shortcuts, and system-owned text?</x:v>
      </x:c>
      <x:c r="J78" s="42" t="str">
        <x:v>Yes in the disconnected model. All 20 tests passed.</x:v>
      </x:c>
      <x:c r="K78" s="42" t="str">
        <x:v>Pass</x:v>
      </x:c>
      <x:c r="L78" s="42" t="str">
        <x:v>The repaired build still needs a native runtime menu rebuild retest.</x:v>
      </x:c>
    </x:row>
    <x:row r="79">
      <x:c r="A79" s="42" t="str">
        <x:v>EV-TRANSFER-MODEL-GREEN-001</x:v>
      </x:c>
      <x:c r="B79" s="42" t="str">
        <x:v>Log</x:v>
      </x:c>
      <x:c r="C79" s="42" t="str">
        <x:v>SET-004, XFR-001, XFR-003, XFR-004, XFR-005, XFR-006</x:v>
      </x:c>
      <x:c r="D79" s="42" t="str">
        <x:v>TR-TRANSFER-MODEL-GREEN-001</x:v>
      </x:c>
      <x:c r="E79" s="42" t="str">
        <x:v>hosted app model with transfer presentation repair, 2026-09-04</x:v>
      </x:c>
      <x:c r="F79" s="42" t="str">
        <x:v>artifacts/ledger/app-model-transfer-green-summary-20260904.json; artifacts/app-model-tests/transfer-regression-1.xcresult; artifacts/app-model-tests/transfer-regression-2.xcresult</x:v>
      </x:c>
      <x:c r="G79" s="42" t="str">
        <x:v>Two unchanged 25-test sweeps with five fake-file-picker import and export presentation cases.</x:v>
      </x:c>
      <x:c r="H79" s="52" t="n">
        <x:v>46269.88576388889</x:v>
      </x:c>
      <x:c r="I79" s="42" t="str">
        <x:v>Do settings-scoped transfer success, cancellation, host lifetime, and unavailable-app preservation pass twice?</x:v>
      </x:c>
      <x:c r="J79" s="42" t="str">
        <x:v>Yes. Both runs passed 25 of 25 tests with zero failures and zero skips.</x:v>
      </x:c>
      <x:c r="K79" s="42" t="str">
        <x:v>Pass</x:v>
      </x:c>
      <x:c r="L79" s="42" t="str">
        <x:v>The fake picker does not prove native save-panel sequencing or visible focus restoration.</x:v>
      </x:c>
    </x:row>
    <x:row r="80">
      <x:c r="A80" s="42" t="str">
        <x:v>EV-REDESIGN-BUILD-001</x:v>
      </x:c>
      <x:c r="B80" s="42" t="str">
        <x:v>Log</x:v>
      </x:c>
      <x:c r="C80" s="42" t="str">
        <x:v>PRF-009, PRF-010, PRF-023, PRF-028, PRF-030, PRF-033, PRF-034, MEN-005, SET-001, SET-002, SET-003, SET-004, BRD-001, UX-001</x:v>
      </x:c>
      <x:c r="D80" s="42" t="str">
        <x:v>TR-REDESIGN-BUILD-001</x:v>
      </x:c>
      <x:c r="E80" s="42" t="str">
        <x:v>integrated source before later corrections, 2026-09-04</x:v>
      </x:c>
      <x:c r="F80" s="42" t="str">
        <x:v>artifacts/redesign-integration-build.log</x:v>
      </x:c>
      <x:c r="G80" s="42" t="str">
        <x:v>Integrated app build after the first saved and applied redesign plus one-page editor and settings work.</x:v>
      </x:c>
      <x:c r="H80" s="52" t="n">
        <x:v>46269.85763888889</x:v>
      </x:c>
      <x:c r="I80" s="42" t="str">
        <x:v>Did the integrated app compile and link at this checkpoint?</x:v>
      </x:c>
      <x:c r="J80" s="42" t="str">
        <x:v>Yes. The build succeeded.</x:v>
      </x:c>
      <x:c r="K80" s="42" t="str">
        <x:v>Pass</x:v>
      </x:c>
      <x:c r="L80" s="42" t="str">
        <x:v>It predates later model, menu, transfer, copy, and accessibility changes and is not the final build.</x:v>
      </x:c>
    </x:row>
    <x:row r="81">
      <x:c r="A81" s="42" t="str">
        <x:v>EV-INTERACTION-REVIEW-001</x:v>
      </x:c>
      <x:c r="B81" s="42" t="str">
        <x:v>Other</x:v>
      </x:c>
      <x:c r="C81" s="42" t="str">
        <x:v>PRF-009, PRF-020, PRF-023, PRF-028, PRF-030, PRF-033, PRF-034, MEN-005, SET-001, SET-002, SET-003, SET-004, BRD-001, XFR-001, XFR-003, XFR-005, XFR-006, UX-001, UX-002</x:v>
      </x:c>
      <x:c r="D81" s="42" t="str"/>
      <x:c r="E81" s="42" t="str">
        <x:v>dark demo build 2026-09-04</x:v>
      </x:c>
      <x:c r="F81" s="42" t="str">
        <x:v>artifacts/ui/sidebar-free/interaction-review.md</x:v>
      </x:c>
      <x:c r="G81" s="42" t="str">
        <x:v>Direct review record for editor, Settings, keyboard, accessibility roles, import, export, and every captured screenshot.</x:v>
      </x:c>
      <x:c r="H81" s="52" t="n">
        <x:v>46269.88333333333</x:v>
      </x:c>
      <x:c r="I81" s="42" t="str">
        <x:v>Does this record separate what the dark demo proves from the defects and untested release gates?</x:v>
      </x:c>
      <x:c r="J81" s="42" t="str">
        <x:v>Yes. It records successful steps, source and runtime defects, and explicit boundaries for live Dock, Focus, motion, light appearance, and VoiceOver.</x:v>
      </x:c>
      <x:c r="K81" s="42" t="str">
        <x:v>Fail</x:v>
      </x:c>
      <x:c r="L81" s="42" t="str">
        <x:v>The overall verdict is Fail because the transfer, menu lifecycle, stale copy, empty-row, and icon issues were present.</x:v>
      </x:c>
    </x:row>
    <x:row r="82">
      <x:c r="A82" s="42" t="str">
        <x:v>EV-EDITOR-DARK-DEFAULT-001</x:v>
      </x:c>
      <x:c r="B82" s="42" t="str">
        <x:v>Screenshot</x:v>
      </x:c>
      <x:c r="C82" s="42" t="str">
        <x:v>PRF-009, PRF-010, PRF-023, PRF-028, PRF-029, MEN-005, UX-001</x:v>
      </x:c>
      <x:c r="D82" s="42" t="str">
        <x:v>TR-EDITOR-DARK-001</x:v>
      </x:c>
      <x:c r="E82" s="42" t="str">
        <x:v>dark demo build 2026-09-04</x:v>
      </x:c>
      <x:c r="F82" s="42" t="str">
        <x:v>artifacts/ui/sidebar-free/editor-dark-default.png</x:v>
      </x:c>
      <x:c r="G82" s="42" t="str">
        <x:v>Compact editor at 620 by 260 points with long fixture content.</x:v>
      </x:c>
      <x:c r="H82" s="52" t="n">
        <x:v>46269.87708333333</x:v>
      </x:c>
      <x:c r="I82" s="42" t="str">
        <x:v>Does this move dockit closer to a native, obvious, zero-truncation profile switcher?</x:v>
      </x:c>
      <x:c r="J82" s="42" t="str">
        <x:v>Yes. The compact native controls, complete identity, state, and ordered preview fit without a sidebar or hidden name.</x:v>
      </x:c>
      <x:c r="K82" s="42" t="str">
        <x:v>Pass</x:v>
      </x:c>
      <x:c r="L82" s="42" t="str">
        <x:v>Dark appearance only.</x:v>
      </x:c>
    </x:row>
    <x:row r="83">
      <x:c r="A83" s="42" t="str">
        <x:v>EV-EDITOR-DARK-SELECTION-001</x:v>
      </x:c>
      <x:c r="B83" s="42" t="str">
        <x:v>Screenshot</x:v>
      </x:c>
      <x:c r="C83" s="42" t="str">
        <x:v>PRF-020, PRF-028, PRF-033, PRF-034, MEN-004, UX-001</x:v>
      </x:c>
      <x:c r="D83" s="42" t="str">
        <x:v>TR-EDITOR-DARK-001</x:v>
      </x:c>
      <x:c r="E83" s="42" t="str">
        <x:v>dark demo build after preview accessibility fix, 2026-09-04</x:v>
      </x:c>
      <x:c r="F83" s="42" t="str">
        <x:v>artifacts/ui/sidebar-free/editor-dark-keyboard-selection.png</x:v>
      </x:c>
      <x:c r="G83" s="42" t="str">
        <x:v>Keyboard-focused preview with a visible multi-selection.</x:v>
      </x:c>
      <x:c r="H83" s="52" t="n">
        <x:v>46269.87986111111</x:v>
      </x:c>
      <x:c r="I83" s="42" t="str">
        <x:v>Does this show a readable selected group while preserving the complete profile name?</x:v>
      </x:c>
      <x:c r="J83" s="42" t="str">
        <x:v>Yes. Both selected entries are distinct and the long profile name remains complete.</x:v>
      </x:c>
      <x:c r="K83" s="42" t="str">
        <x:v>Pass</x:v>
      </x:c>
      <x:c r="L83" s="42" t="str">
        <x:v>The paired accessibility inspection reported button roles and toggle-selection actions.</x:v>
      </x:c>
    </x:row>
    <x:row r="84">
      <x:c r="A84" s="42" t="str">
        <x:v>EV-EDITOR-DARK-REORDER-001</x:v>
      </x:c>
      <x:c r="B84" s="42" t="str">
        <x:v>Screenshot</x:v>
      </x:c>
      <x:c r="C84" s="42" t="str">
        <x:v>PRF-009, PRF-020, PRF-028, PRF-030, PRF-033, PRF-034, UX-001</x:v>
      </x:c>
      <x:c r="D84" s="42" t="str">
        <x:v>TR-EDITOR-DARK-001</x:v>
      </x:c>
      <x:c r="E84" s="42" t="str">
        <x:v>dark demo build after preview accessibility fix, 2026-09-04</x:v>
      </x:c>
      <x:c r="F84" s="42" t="str">
        <x:v>artifacts/ui/sidebar-free/editor-dark-keyboard-reorder.png</x:v>
      </x:c>
      <x:c r="G84" s="42" t="str">
        <x:v>Keyboard group reorder on an inactive selected profile.</x:v>
      </x:c>
      <x:c r="H84" s="52" t="n">
        <x:v>46269.88055555556</x:v>
      </x:c>
      <x:c r="I84" s="42" t="str">
        <x:v>Does this clearly separate a saved edit from a real Dock apply?</x:v>
      </x:c>
      <x:c r="J84" s="42" t="str">
        <x:v>Yes. The reordered preview and lowercase saved status are visible while the profile remains inactive.</x:v>
      </x:c>
      <x:c r="K84" s="42" t="str">
        <x:v>Pass</x:v>
      </x:c>
      <x:c r="L84" s="42" t="str">
        <x:v>The real Dock was not changed. Motion and pointer drag were not tested.</x:v>
      </x:c>
    </x:row>
    <x:row r="85">
      <x:c r="A85" s="42" t="str">
        <x:v>EV-EDITOR-DARK-MINIMUM-001</x:v>
      </x:c>
      <x:c r="B85" s="42" t="str">
        <x:v>Screenshot</x:v>
      </x:c>
      <x:c r="C85" s="42" t="str">
        <x:v>PRF-023, PRF-028, PRF-029, MEN-005, UX-001</x:v>
      </x:c>
      <x:c r="D85" s="42" t="str">
        <x:v>TR-EDITOR-DARK-001</x:v>
      </x:c>
      <x:c r="E85" s="42" t="str">
        <x:v>dark demo build 2026-09-04</x:v>
      </x:c>
      <x:c r="F85" s="42" t="str">
        <x:v>artifacts/ui/sidebar-free/editor-dark-minimum.png</x:v>
      </x:c>
      <x:c r="G85" s="42" t="str">
        <x:v>Editor at the tested 520 point minimum width.</x:v>
      </x:c>
      <x:c r="H85" s="52" t="n">
        <x:v>46269.87777777778</x:v>
      </x:c>
      <x:c r="I85" s="42" t="str">
        <x:v>Does the editor adapt without shortening user content?</x:v>
      </x:c>
      <x:c r="J85" s="42" t="str">
        <x:v>Yes. Actions stack below the complete profile name and the preview remains usable.</x:v>
      </x:c>
      <x:c r="K85" s="42" t="str">
        <x:v>Pass</x:v>
      </x:c>
      <x:c r="L85" s="42" t="str">
        <x:v>Large text and light appearance remain open.</x:v>
      </x:c>
    </x:row>
    <x:row r="86">
      <x:c r="A86" s="42" t="str">
        <x:v>EV-DETAILS-DARK-MINIMUM-001</x:v>
      </x:c>
      <x:c r="B86" s="42" t="str">
        <x:v>Screenshot</x:v>
      </x:c>
      <x:c r="C86" s="42" t="str">
        <x:v>PRF-023, PRF-028, PRF-029, XFR-006, UX-001</x:v>
      </x:c>
      <x:c r="D86" s="42" t="str">
        <x:v>TR-EDITOR-DARK-001</x:v>
      </x:c>
      <x:c r="E86" s="42" t="str">
        <x:v>dark demo build 2026-09-04</x:v>
      </x:c>
      <x:c r="F86" s="42" t="str">
        <x:v>artifacts/ui/sidebar-free/details-dark-minimum.png</x:v>
      </x:c>
      <x:c r="G86" s="42" t="str">
        <x:v>Expanded details at minimum width with system application names and an unavailable path.</x:v>
      </x:c>
      <x:c r="H86" s="52" t="n">
        <x:v>46269.87847222222</x:v>
      </x:c>
      <x:c r="I86" s="42" t="str">
        <x:v>Are names and the original unavailable path readable without automatic truncation?</x:v>
      </x:c>
      <x:c r="J86" s="42" t="str">
        <x:v>Yes. The scrolling details area preserves app-name and path casing and shows the full path over wrapped lines.</x:v>
      </x:c>
      <x:c r="K86" s="42" t="str">
        <x:v>Pass</x:v>
      </x:c>
      <x:c r="L86" s="42" t="str">
        <x:v>Copying the disclosed path and large-text layout remain open.</x:v>
      </x:c>
    </x:row>
    <x:row r="87">
      <x:c r="A87" s="42" t="str">
        <x:v>EV-SETTINGS-DARK-DEFAULT-001</x:v>
      </x:c>
      <x:c r="B87" s="42" t="str">
        <x:v>Screenshot</x:v>
      </x:c>
      <x:c r="C87" s="42" t="str">
        <x:v>MEN-005, SET-001, SET-002, SET-003, SET-004, BRD-001, UX-001</x:v>
      </x:c>
      <x:c r="D87" s="42" t="str">
        <x:v>TR-SETTINGS-DARK-001</x:v>
      </x:c>
      <x:c r="E87" s="42" t="str">
        <x:v>dark demo build 2026-09-04</x:v>
      </x:c>
      <x:c r="F87" s="42" t="str">
        <x:v>artifacts/ui/sidebar-free/settings-dark-default.png</x:v>
      </x:c>
      <x:c r="G87" s="42" t="str">
        <x:v>One-page Settings at the tested default 620 by 620 point content size.</x:v>
      </x:c>
      <x:c r="H87" s="52" t="n">
        <x:v>46269.88125</x:v>
      </x:c>
      <x:c r="I87" s="42" t="str">
        <x:v>Does Settings use a native, direct, sidebar-free hierarchy?</x:v>
      </x:c>
      <x:c r="J87" s="42" t="str">
        <x:v>Yes. Native grouped controls are reachable in one scrolling page without tabs or a sidebar.</x:v>
      </x:c>
      <x:c r="K87" s="42" t="str">
        <x:v>Pass</x:v>
      </x:c>
      <x:c r="L87" s="42" t="str">
        <x:v>Control behavior and light appearance were not tested.</x:v>
      </x:c>
    </x:row>
    <x:row r="88">
      <x:c r="A88" s="42" t="str">
        <x:v>EV-SETTINGS-DARK-MINIMUM-001</x:v>
      </x:c>
      <x:c r="B88" s="42" t="str">
        <x:v>Screenshot</x:v>
      </x:c>
      <x:c r="C88" s="42" t="str">
        <x:v>MEN-005, SET-001, SET-002, SET-003, SET-004, UX-001</x:v>
      </x:c>
      <x:c r="D88" s="42" t="str">
        <x:v>TR-SETTINGS-DARK-001</x:v>
      </x:c>
      <x:c r="E88" s="42" t="str">
        <x:v>dark demo build 2026-09-04</x:v>
      </x:c>
      <x:c r="F88" s="42" t="str">
        <x:v>artifacts/ui/sidebar-free/settings-dark-minimum.png</x:v>
      </x:c>
      <x:c r="G88" s="42" t="str">
        <x:v>One-page Settings at 520 by 480 points.</x:v>
      </x:c>
      <x:c r="H88" s="52" t="n">
        <x:v>46269.88159722222</x:v>
      </x:c>
      <x:c r="I88" s="42" t="str">
        <x:v>Does the settings page stay readable and scrollable at minimum width?</x:v>
      </x:c>
      <x:c r="J88" s="42" t="str">
        <x:v>Yes. Labels wrap and all groups remain reachable through the detail scroll.</x:v>
      </x:c>
      <x:c r="K88" s="42" t="str">
        <x:v>Pass</x:v>
      </x:c>
      <x:c r="L88" s="42" t="str">
        <x:v>Keyboard order, large text, light appearance, and VoiceOver remain open.</x:v>
      </x:c>
    </x:row>
    <x:row r="89">
      <x:c r="A89" s="42" t="str">
        <x:v>EV-SETTINGS-ABOUT-DARK-001</x:v>
      </x:c>
      <x:c r="B89" s="42" t="str">
        <x:v>Screenshot</x:v>
      </x:c>
      <x:c r="C89" s="42" t="str">
        <x:v>SET-004, UX-002</x:v>
      </x:c>
      <x:c r="D89" s="42" t="str">
        <x:v>TR-SETTINGS-DARK-001</x:v>
      </x:c>
      <x:c r="E89" s="42" t="str">
        <x:v>dark demo build before selected icon installation, 2026-09-04</x:v>
      </x:c>
      <x:c r="F89" s="42" t="str">
        <x:v>artifacts/ui/sidebar-free/settings-dark-about-minimum.png</x:v>
      </x:c>
      <x:c r="G89" s="42" t="str">
        <x:v>About group at minimum width.</x:v>
      </x:c>
      <x:c r="H89" s="52" t="n">
        <x:v>46269.881944444445</x:v>
      </x:c>
      <x:c r="I89" s="42" t="str">
        <x:v>Does the about group show truthful copy and the approved icon?</x:v>
      </x:c>
      <x:c r="J89" s="42" t="str">
        <x:v>The structure and development distribution copy are truthful, but the old full-color icon is still present.</x:v>
      </x:c>
      <x:c r="K89" s="42" t="str">
        <x:v>Fail</x:v>
      </x:c>
      <x:c r="L89" s="42" t="str">
        <x:v>The selected first white and pastel icon master is not installed.</x:v>
      </x:c>
    </x:row>
    <x:row r="90">
      <x:c r="A90" s="42" t="str">
        <x:v>EV-IMPORT-DARK-BEFORE-FIX-001</x:v>
      </x:c>
      <x:c r="B90" s="42" t="str">
        <x:v>Screenshot</x:v>
      </x:c>
      <x:c r="C90" s="42" t="str">
        <x:v>SET-004, XFR-003, XFR-005, XFR-006, UX-001</x:v>
      </x:c>
      <x:c r="D90" s="42" t="str">
        <x:v>TR-TRANSFER-DARK-001</x:v>
      </x:c>
      <x:c r="E90" s="42" t="str">
        <x:v>dark demo build before import presentation fixes, 2026-09-04</x:v>
      </x:c>
      <x:c r="F90" s="42" t="str">
        <x:v>artifacts/ui/sidebar-free/import-dark-before-fix.png</x:v>
      </x:c>
      <x:c r="G90" s="42" t="str">
        <x:v>Import preview with a renamed collision and unavailable app.</x:v>
      </x:c>
      <x:c r="H90" s="52" t="n">
        <x:v>46269.88333333333</x:v>
      </x:c>
      <x:c r="I90" s="42" t="str">
        <x:v>Does the import preview explain the current behavior without visual ambiguity?</x:v>
      </x:c>
      <x:c r="J90" s="42" t="str">
        <x:v>No. Collision and path wrapping work, but the missing-app preflight copy is stale and two striped rows look like empty records.</x:v>
      </x:c>
      <x:c r="K90" s="42" t="str">
        <x:v>Fail</x:v>
      </x:c>
      <x:c r="L90" s="42" t="str">
        <x:v>Post-fix screenshot and interaction evidence remain open.</x:v>
      </x:c>
    </x:row>
    <x:row r="91">
      <x:c r="A91" s="42" t="str">
        <x:v>EV-TRANSFER-ROUNDTRIP-001</x:v>
      </x:c>
      <x:c r="B91" s="42" t="str">
        <x:v>Native transfer review, result screenshots, and exported archive</x:v>
      </x:c>
      <x:c r="C91" s="42" t="str">
        <x:v>SET-004, XFR-001, XFR-003, XFR-005, XFR-006, XFR-002</x:v>
      </x:c>
      <x:c r="D91" s="42" t="str">
        <x:v>TR-TRANSFER-ROUNDTRIP-001</x:v>
      </x:c>
      <x:c r="E91" s="42" t="str">
        <x:v>dark demo build 2026-09-04</x:v>
      </x:c>
      <x:c r="F91" s="42" t="str">
        <x:v>artifacts/reference-editor/transfer-roundtrip-20260906.dockit; artifacts/reference-editor/transfer-export-result-20260906.png; artifacts/reference-editor/transfer-import-review-20260906.png; artifacts/reference-editor/transfer-import-result-20260906.png</x:v>
      </x:c>
      <x:c r="G91" s="42" t="str">
        <x:v>Portable archive exported after keyboard reorder and imported into the demo fixture.</x:v>
      </x:c>
      <x:c r="H91" s="52" t="n">
        <x:v>46269.88263888889</x:v>
      </x:c>
      <x:c r="I91" s="42" t="str">
        <x:v>Does this move dockit closer to a native, obvious, zero-truncation profile switcher?</x:v>
      </x:c>
      <x:c r="J91" s="42" t="str">
        <x:v>The inspected dark transfer flow uses native panels, explains renamed copies and the unavailable app, wraps the archive filename, and reports success in settings. Actual activation recovery, disk-backed import persistence, and motion are not verified here.</x:v>
      </x:c>
      <x:c r="K91" s="42" t="str">
        <x:v>Pass</x:v>
      </x:c>
      <x:c r="L91" s="42" t="str">
        <x:v>This file-content result does not prove correct native panel presentation.</x:v>
      </x:c>
    </x:row>
    <x:row r="92">
      <x:c r="A92" s="42" t="str">
        <x:v>EV-EXPORT-NESTED-PANEL-001</x:v>
      </x:c>
      <x:c r="B92" s="42" t="str">
        <x:v>Screenshot</x:v>
      </x:c>
      <x:c r="C92" s="42" t="str">
        <x:v>SET-004, XFR-001, UX-001</x:v>
      </x:c>
      <x:c r="D92" s="42" t="str">
        <x:v>TR-EXPORT-NATIVE-DARK-001</x:v>
      </x:c>
      <x:c r="E92" s="42" t="str">
        <x:v>dark demo build before native export lifecycle repair, 2026-09-04</x:v>
      </x:c>
      <x:c r="F92" s="42" t="str">
        <x:v>artifacts/ui/sidebar-free/export-nested-native-panel.png</x:v>
      </x:c>
      <x:c r="G92" s="42" t="str">
        <x:v>Native save panel nested under the export profile-selection sheet.</x:v>
      </x:c>
      <x:c r="H92" s="52" t="n">
        <x:v>46269.8875</x:v>
      </x:c>
      <x:c r="I92" s="42" t="str">
        <x:v>Is the native panel presented in a stable order with one clear owner?</x:v>
      </x:c>
      <x:c r="J92" s="42" t="str">
        <x:v>No. The save panel is nested under the still-present selection sheet.</x:v>
      </x:c>
      <x:c r="K92" s="42" t="str">
        <x:v>Fail</x:v>
      </x:c>
      <x:c r="L92" s="42" t="str">
        <x:v>A rebuilt post-fix panel sequence needs direct retest.</x:v>
      </x:c>
    </x:row>
    <x:row r="93">
      <x:c r="A93" s="42" t="str">
        <x:v>EV-EXPORT-RETURN-001</x:v>
      </x:c>
      <x:c r="B93" s="42" t="str">
        <x:v>Screenshot</x:v>
      </x:c>
      <x:c r="C93" s="42" t="str">
        <x:v>SET-004, XFR-001, UX-001</x:v>
      </x:c>
      <x:c r="D93" s="42" t="str">
        <x:v>TR-EXPORT-NATIVE-DARK-001</x:v>
      </x:c>
      <x:c r="E93" s="42" t="str">
        <x:v>dark demo build before native export lifecycle repair, 2026-09-04</x:v>
      </x:c>
      <x:c r="F93" s="42" t="str">
        <x:v>artifacts/ui/sidebar-free/export-selection-unexpected-return.png</x:v>
      </x:c>
      <x:c r="G93" s="42" t="str">
        <x:v>Export returned unexpectedly to profile selection after filename interaction or save.</x:v>
      </x:c>
      <x:c r="H93" s="52" t="n">
        <x:v>46269.88761574074</x:v>
      </x:c>
      <x:c r="I93" s="42" t="str">
        <x:v>Did the save action complete and preserve a coherent Settings flow?</x:v>
      </x:c>
      <x:c r="J93" s="42" t="str">
        <x:v>No. The selection sheet returned prematurely and no file was written.</x:v>
      </x:c>
      <x:c r="K93" s="42" t="str">
        <x:v>Fail</x:v>
      </x:c>
      <x:c r="L93" s="42" t="str">
        <x:v>Settings cancellation and window restoration passed in the same run.</x:v>
      </x:c>
    </x:row>
    <x:row r="94">
      <x:c r="A94" s="42" t="str">
        <x:v>EV-DOCK-TIMING-TOOL-001</x:v>
      </x:c>
      <x:c r="B94" s="42" t="str">
        <x:v>Log</x:v>
      </x:c>
      <x:c r="C94" s="42" t="str">
        <x:v>MOT-001, MOT-002, MOT-003, MOT-004</x:v>
      </x:c>
      <x:c r="D94" s="42" t="str">
        <x:v>TR-DOCK-TIMING-TOOL-001</x:v>
      </x:c>
      <x:c r="E94" s="42" t="str">
        <x:v>offline timing evidence evaluator, source 2026-09-04</x:v>
      </x:c>
      <x:c r="F94" s="42" t="str">
        <x:v>artifacts/ledger/dock-timing-analyzer-tests-20260904.log</x:v>
      </x:c>
      <x:c r="G94" s="42" t="str">
        <x:v>Twenty-one synthetic cases for reliability reports, reviewed frame annotations, metric separation, uncertainty bounds, qualification, and fallback.</x:v>
      </x:c>
      <x:c r="H94" s="52" t="n">
        <x:v>46269.873611111114</x:v>
      </x:c>
      <x:c r="I94" s="42" t="str">
        <x:v>Does the offline gate reject incomplete or non-qualifying evidence and retain forced termination deterministically?</x:v>
      </x:c>
      <x:c r="J94" s="42" t="str">
        <x:v>Yes. All 21 synthetic tests passed.</x:v>
      </x:c>
      <x:c r="K94" s="42" t="str">
        <x:v>Pass</x:v>
      </x:c>
      <x:c r="L94" s="42" t="str">
        <x:v>This is tooling evidence only. No live Dock strategy has valid visual timing evidence.</x:v>
      </x:c>
    </x:row>
    <x:row r="95">
      <x:c r="A95" s="42" t="str">
        <x:v>EV-COPY-HELP-AUDIT-001</x:v>
      </x:c>
      <x:c r="B95" s="42" t="str">
        <x:v>Other</x:v>
      </x:c>
      <x:c r="C95" s="42" t="str">
        <x:v>PRF-007, PRF-033, PRF-034, MEN-004, XFR-006, PRF-030, REL-001</x:v>
      </x:c>
      <x:c r="D95" s="42" t="str">
        <x:v>TR-COPY-HELP-AUDIT-001</x:v>
      </x:c>
      <x:c r="E95" s="42" t="str">
        <x:v>source before copy and help corrections, 2026-09-04</x:v>
      </x:c>
      <x:c r="F95" s="42" t="str">
        <x:v>artifacts/ledger/redesign-source-audit-20260904.md</x:v>
      </x:c>
      <x:c r="G95" s="42" t="str">
        <x:v>Static audit of keyboard help, profile deletion terminology, and unavailable-app result copy.</x:v>
      </x:c>
      <x:c r="H95" s="52" t="n">
        <x:v>46269.88784722222</x:v>
      </x:c>
      <x:c r="I95" s="42" t="str">
        <x:v>Does every reviewed path explain the current action and result in visible, accurate language?</x:v>
      </x:c>
      <x:c r="J95" s="42" t="str">
        <x:v>No. Keyboard help was hidden, two paths used obsolete action or result copy, and relink save failure discarded the chosen replacement.</x:v>
      </x:c>
      <x:c r="K95" s="42" t="str">
        <x:v>Fail</x:v>
      </x:c>
      <x:c r="L95" s="42" t="str">
        <x:v>Post-fix model, runtime copy, retry, and keyboard-discovery evidence remain open.</x:v>
      </x:c>
    </x:row>
    <x:row r="96">
      <x:c r="A96" s="42" t="str">
        <x:v>EV-LEDGER-METRIC-BEFORE-001</x:v>
      </x:c>
      <x:c r="B96" s="42" t="str">
        <x:v>Screenshot</x:v>
      </x:c>
      <x:c r="C96" s="42" t="str">
        <x:v>MOT-001</x:v>
      </x:c>
      <x:c r="D96" s="42" t="str">
        <x:v>TR-LEDGER-CHECKPOINT-VISUAL-001</x:v>
      </x:c>
      <x:c r="E96" s="42" t="str">
        <x:v>canonical ledger before correction, 2026-09-04</x:v>
      </x:c>
      <x:c r="F96" s="42" t="str">
        <x:v>artifacts/ledger/Stories-checkpoint-definitions-b.png</x:v>
      </x:c>
      <x:c r="G96" s="42" t="str">
        <x:v>Readable checkpoint render containing the incorrect MOT-001 definition.</x:v>
      </x:c>
      <x:c r="H96" s="52" t="n">
        <x:v>46269.894791666666</x:v>
      </x:c>
      <x:c r="I96" s="42" t="str">
        <x:v>Does the definition distinguish background blackout from an absent Dock over normal wallpaper?</x:v>
      </x:c>
      <x:c r="J96" s="42" t="str">
        <x:v>No. It conflates normal wallpaper shown while the Dock is absent with background blackout.</x:v>
      </x:c>
      <x:c r="K96" s="42" t="str">
        <x:v>Fail</x:v>
      </x:c>
      <x:c r="L96" s="42" t="str">
        <x:v>Preserved as the before record for DEF-058.</x:v>
      </x:c>
    </x:row>
    <x:row r="97">
      <x:c r="A97" s="42" t="str">
        <x:v>EV-LEDGER-METRIC-AFTER-001</x:v>
      </x:c>
      <x:c r="B97" s="42" t="str">
        <x:v>Screenshot</x:v>
      </x:c>
      <x:c r="C97" s="42" t="str">
        <x:v>MOT-001, MOT-004</x:v>
      </x:c>
      <x:c r="D97" s="42" t="str">
        <x:v>TR-LEDGER-METRIC-RETEST-001</x:v>
      </x:c>
      <x:c r="E97" s="42" t="str">
        <x:v>canonical ledger after correction, 2026-09-04</x:v>
      </x:c>
      <x:c r="F97" s="42" t="str">
        <x:v>artifacts/ledger/Stories-metric-correction.png</x:v>
      </x:c>
      <x:c r="G97" s="42" t="str">
        <x:v>Readable bounded render of the corrected background-blackout definition and unchanged open verdicts.</x:v>
      </x:c>
      <x:c r="H97" s="52" t="n">
        <x:v>46269.90416666667</x:v>
      </x:c>
      <x:c r="I97" s="42" t="str">
        <x:v>Does the corrected definition exclude normal wallpaper with an absent Dock while keeping live timing open?</x:v>
      </x:c>
      <x:c r="J97" s="42" t="str">
        <x:v>Yes. It limits blackout to loss or replacement of the expected background and keeps all live timing verdicts Not run.</x:v>
      </x:c>
      <x:c r="K97" s="42" t="str">
        <x:v>Pass</x:v>
      </x:c>
      <x:c r="L97" s="42" t="str">
        <x:v>This is workbook review evidence only.</x:v>
      </x:c>
    </x:row>
    <x:row r="98">
      <x:c r="A98" s="42" t="str">
        <x:v>EV-TRANSFER-FOLLOWUP-MODEL-001</x:v>
      </x:c>
      <x:c r="B98" s="42" t="str">
        <x:v>Log</x:v>
      </x:c>
      <x:c r="C98" s="42" t="str">
        <x:v>SET-004, XFR-001, XFR-003</x:v>
      </x:c>
      <x:c r="D98" s="42" t="str">
        <x:v>TR-TRANSFER-INGRESS-GREEN-001</x:v>
      </x:c>
      <x:c r="E98" s="42" t="str">
        <x:v>hosted transfer follow-up, 2026-09-04</x:v>
      </x:c>
      <x:c r="F98" s="42" t="str">
        <x:v>artifacts/ledger/app-model-transfer-followup-summary-20260904.json</x:v>
      </x:c>
      <x:c r="G98" s="42" t="str">
        <x:v>Durable summary of two sequential-export passes, the transfer-ingress red run, and two unchanged ingress-fix passes.</x:v>
      </x:c>
      <x:c r="H98" s="52" t="n">
        <x:v>46269.89572916667</x:v>
      </x:c>
      <x:c r="I98" s="42" t="str">
        <x:v>Does the summary preserve both the red ingress result and repeated green corrections with exact execution counts?</x:v>
      </x:c>
      <x:c r="J98" s="42" t="str">
        <x:v>Yes. It records 28 of 28 twice, four failed ingress executions, then 30 functions and 32 executions passing twice.</x:v>
      </x:c>
      <x:c r="K98" s="42" t="str">
        <x:v>Pass</x:v>
      </x:c>
      <x:c r="L98" s="42" t="str">
        <x:v>Model evidence only. Native panel input and Finder events remain open.</x:v>
      </x:c>
    </x:row>
    <x:row r="99">
      <x:c r="A99" s="42" t="str">
        <x:v>EV-EXPORT-NATIVE-KEYBOARD-GREEN-001</x:v>
      </x:c>
      <x:c r="B99" s="42" t="str">
        <x:v>Screenshot</x:v>
      </x:c>
      <x:c r="C99" s="42" t="str">
        <x:v>SET-004, XFR-001, UX-001</x:v>
      </x:c>
      <x:c r="D99" s="42" t="str">
        <x:v>TR-EXPORT-NATIVE-KEYBOARD-GREEN-001</x:v>
      </x:c>
      <x:c r="E99" s="42" t="str">
        <x:v>dark demo build after sequential export repair, 2026-09-04</x:v>
      </x:c>
      <x:c r="F99" s="42" t="str">
        <x:v>artifacts/ui/sidebar-free/settings-export-complete-after-fix.png</x:v>
      </x:c>
      <x:c r="G99" s="42" t="str">
        <x:v>Settings after a successful keyboard-driven native export.</x:v>
      </x:c>
      <x:c r="H99" s="52" t="n">
        <x:v>46269.8978125</x:v>
      </x:c>
      <x:c r="I99" s="42" t="str">
        <x:v>Did export complete in the same Settings context with direct local feedback?</x:v>
      </x:c>
      <x:c r="J99" s="42" t="str">
        <x:v>Yes. Settings remained visible and reported exported 1 dock.</x:v>
      </x:c>
      <x:c r="K99" s="42" t="str">
        <x:v>Pass</x:v>
      </x:c>
      <x:c r="L99" s="42" t="str">
        <x:v>The screenshot does not verify pointer or VoiceOver activation inside the system panel.</x:v>
      </x:c>
    </x:row>
    <x:row r="100">
      <x:c r="A100" s="42" t="str">
        <x:v>EV-EXPORT-AFTER-FIX-ARCHIVE-001</x:v>
      </x:c>
      <x:c r="B100" s="42" t="str">
        <x:v>Other</x:v>
      </x:c>
      <x:c r="C100" s="42" t="str">
        <x:v>SET-004, XFR-001, XFR-002, XFR-006</x:v>
      </x:c>
      <x:c r="D100" s="42" t="str">
        <x:v>TR-EXPORT-NATIVE-KEYBOARD-GREEN-001</x:v>
      </x:c>
      <x:c r="E100" s="42" t="str">
        <x:v>dark demo build after sequential export repair, 2026-09-04</x:v>
      </x:c>
      <x:c r="F100" s="42" t="str">
        <x:v>artifacts/ui/sidebar-free/sidebar-free-roundtrip-after-fix.dockit</x:v>
      </x:c>
      <x:c r="G100" s="42" t="str">
        <x:v>Archive created by the successful native keyboard export path.</x:v>
      </x:c>
      <x:c r="H100" s="52" t="n">
        <x:v>46269.8978125</x:v>
      </x:c>
      <x:c r="I100" s="42" t="str">
        <x:v>Does the written archive preserve version, profile identity, application names and paths, and the unavailable app reference?</x:v>
      </x:c>
      <x:c r="J100" s="42" t="str">
        <x:v>Yes. Direct JSON inspection confirms each value in the 1,119-byte version 1 file.</x:v>
      </x:c>
      <x:c r="K100" s="42" t="str">
        <x:v>Pass</x:v>
      </x:c>
      <x:c r="L100" s="42" t="str">
        <x:v>File-content evidence only.</x:v>
      </x:c>
    </x:row>
    <x:row r="101">
      <x:c r="A101" s="42" t="str">
        <x:v>EV-NATIVE-PANEL-CORRECTION-001</x:v>
      </x:c>
      <x:c r="B101" s="42" t="str">
        <x:v>Other</x:v>
      </x:c>
      <x:c r="C101" s="42" t="str">
        <x:v>SET-004, XFR-001, XFR-003, UX-001</x:v>
      </x:c>
      <x:c r="D101" s="42" t="str"/>
      <x:c r="E101" s="42" t="str">
        <x:v>dark demo build after sequential export repair, 2026-09-04</x:v>
      </x:c>
      <x:c r="F101" s="42" t="str">
        <x:v>artifacts/ledger/native-transfer-evidence-correction-20260904.md</x:v>
      </x:c>
      <x:c r="G101" s="42" t="str">
        <x:v>Append-only correction separating the passing keyboard export from inconclusive pointer and accessibility transport behavior.</x:v>
      </x:c>
      <x:c r="H101" s="52" t="n">
        <x:v>46269.89861111111</x:v>
      </x:c>
      <x:c r="I101" s="42" t="str">
        <x:v>Does the evidence distinguish confirmed app behavior from screen-control uncertainty?</x:v>
      </x:c>
      <x:c r="J101" s="42" t="str">
        <x:v>Yes. Keyboard export and archive contents pass, while pointer and Go To routing remain tool-limited with no assigned product failure.</x:v>
      </x:c>
      <x:c r="K101" s="42" t="str">
        <x:v>Pass</x:v>
      </x:c>
      <x:c r="L101" s="42" t="str">
        <x:v>The earlier failed run and screenshots remain in the audit trail.</x:v>
      </x:c>
    </x:row>
    <x:row r="102">
      <x:c r="A102" s="42" t="str">
        <x:v>EV-ICON-PIPELINE-001</x:v>
      </x:c>
      <x:c r="B102" s="42" t="str">
        <x:v>Log</x:v>
      </x:c>
      <x:c r="C102" s="42" t="str">
        <x:v>UX-002</x:v>
      </x:c>
      <x:c r="D102" s="42" t="str">
        <x:v>TR-ICON-PIPELINE-001</x:v>
      </x:c>
      <x:c r="E102" s="42" t="str">
        <x:v>icon pipeline tool source 2026-09-04</x:v>
      </x:c>
      <x:c r="F102" s="42" t="str">
        <x:v>artifacts/icon-pipeline-tests.log</x:v>
      </x:c>
      <x:c r="G102" s="42" t="str">
        <x:v>Thirteen synthetic validation and deterministic-generation cases.</x:v>
      </x:c>
      <x:c r="H102" s="52" t="n">
        <x:v>46269.899305555555</x:v>
      </x:c>
      <x:c r="I102" s="42" t="str">
        <x:v>Does the pipeline reject unsafe masters and generate deterministic slots without touching production assets?</x:v>
      </x:c>
      <x:c r="J102" s="42" t="str">
        <x:v>Yes. All 13 tests passed and the log states no production master or asset was read or changed.</x:v>
      </x:c>
      <x:c r="K102" s="42" t="str">
        <x:v>Pass</x:v>
      </x:c>
      <x:c r="L102" s="42" t="str">
        <x:v>Tool implementation evidence only.</x:v>
      </x:c>
    </x:row>
    <x:row r="103">
      <x:c r="A103" s="42" t="str">
        <x:v>EV-ICON-DRAFT-VALIDATION-001</x:v>
      </x:c>
      <x:c r="B103" s="42" t="str">
        <x:v>Log</x:v>
      </x:c>
      <x:c r="C103" s="42" t="str">
        <x:v>UX-002</x:v>
      </x:c>
      <x:c r="D103" s="42" t="str">
        <x:v>TR-ICON-DRAFT-VALIDATION-001</x:v>
      </x:c>
      <x:c r="E103" s="42" t="str">
        <x:v>selected white and pastel draft validation, 2026-09-04</x:v>
      </x:c>
      <x:c r="F103" s="42" t="str">
        <x:v>artifacts/icon-white-pastel-validation.log</x:v>
      </x:c>
      <x:c r="G103" s="42" t="str">
        <x:v>Read-only production-candidate validation before raster generation.</x:v>
      </x:c>
      <x:c r="H103" s="52" t="n">
        <x:v>46269.89965277778</x:v>
      </x:c>
      <x:c r="I103" s="42" t="str">
        <x:v>Is the selected draft ready to become the production icon master?</x:v>
      </x:c>
      <x:c r="J103" s="42" t="str">
        <x:v>No. It is opaque RGB and lacks transparent outer corners.</x:v>
      </x:c>
      <x:c r="K103" s="42" t="str">
        <x:v>Fail</x:v>
      </x:c>
      <x:c r="L103" s="42" t="str">
        <x:v>Validation exited 65 as designed and wrote no production assets.</x:v>
      </x:c>
    </x:row>
    <x:row r="104">
      <x:c r="A104" s="42" t="str">
        <x:v>EV-ACTIVATION-DUPLICATE-AUDIT-001</x:v>
      </x:c>
      <x:c r="B104" s="42" t="str">
        <x:v>Other</x:v>
      </x:c>
      <x:c r="C104" s="42" t="str">
        <x:v>PRF-010, PRF-025, FOC-003, REL-001</x:v>
      </x:c>
      <x:c r="D104" s="42" t="str">
        <x:v>TR-ACTIVATION-DUPLICATE-AUDIT-001</x:v>
      </x:c>
      <x:c r="E104" s="42" t="str">
        <x:v>source before duplicate-activation regression, 2026-09-04</x:v>
      </x:c>
      <x:c r="F104" s="42" t="str">
        <x:v>artifacts/ledger/redesign-source-audit-20260904.md</x:v>
      </x:c>
      <x:c r="G104" s="42" t="str">
        <x:v>Static trace of premature duplicate activation success.</x:v>
      </x:c>
      <x:c r="H104" s="52" t="n">
        <x:v>46269.9</x:v>
      </x:c>
      <x:c r="I104" s="42" t="str">
        <x:v>Can a duplicate or Focus caller receive success before the in-flight apply verifies?</x:v>
      </x:c>
      <x:c r="J104" s="42" t="str">
        <x:v>Yes in the reviewed source branch. It returns true immediately and resumes matching continuations early.</x:v>
      </x:c>
      <x:c r="K104" s="42" t="str">
        <x:v>Fail</x:v>
      </x:c>
      <x:c r="L104" s="42" t="str">
        <x:v>Source evidence only. A red executable regression remains open.</x:v>
      </x:c>
    </x:row>
    <x:row r="105">
      <x:c r="A105" s="42" t="str">
        <x:v>EV-ACTIVATION-RELINK-RED-001</x:v>
      </x:c>
      <x:c r="B105" s="42" t="str">
        <x:v>Log and XCTest result bundle</x:v>
      </x:c>
      <x:c r="C105" s="42" t="str">
        <x:v>PRF-010, PRF-025, PRF-030, FOC-003, XFR-006, REL-001</x:v>
      </x:c>
      <x:c r="D105" s="42" t="str">
        <x:v>TR-ACTIVATION-RELINK-RED-001</x:v>
      </x:c>
      <x:c r="E105" s="42" t="str">
        <x:v>hosted app model red regression, 2026-09-04</x:v>
      </x:c>
      <x:c r="F105" s="42" t="str">
        <x:v>artifacts/appmodel-red-full-20260904T220020Z.log</x:v>
      </x:c>
      <x:c r="G105" s="42" t="str">
        <x:v>Complete red suite preserving five failed logical tests and 18 issues before the two fixes.</x:v>
      </x:c>
      <x:c r="H105" s="52" t="n">
        <x:v>46269.91689814815</x:v>
      </x:c>
      <x:c r="I105" s="42" t="str">
        <x:v>Does this run reproduce both data-loss and premature-success behavior before repair?</x:v>
      </x:c>
      <x:c r="J105" s="42" t="str">
        <x:v>Yes. It records discarded replacement data plus duplicate and coalesced activation callers resolving before truthful verification.</x:v>
      </x:c>
      <x:c r="K105" s="42" t="str">
        <x:v>Fail</x:v>
      </x:c>
      <x:c r="L105" s="42" t="str">
        <x:v>Paired result bundle: artifacts/appmodel-red-full-20260904T220020Z.xcresult. Exact hashes are in artifacts/ledger/appmodel-activation-recovery-fix-summary-20260904.json.</x:v>
      </x:c>
    </x:row>
    <x:row r="106">
      <x:c r="A106" s="42" t="str">
        <x:v>EV-ACTIVATION-RELINK-GREEN-001</x:v>
      </x:c>
      <x:c r="B106" s="42" t="str">
        <x:v>Log and XCTest result bundle</x:v>
      </x:c>
      <x:c r="C106" s="42" t="str">
        <x:v>PRF-010, PRF-025, PRF-030, FOC-003, XFR-006, REL-001</x:v>
      </x:c>
      <x:c r="D106" s="42" t="str">
        <x:v>TR-ACTIVATION-RELINK-GREEN-001</x:v>
      </x:c>
      <x:c r="E106" s="42" t="str">
        <x:v>hosted app model first green regression, 2026-09-04</x:v>
      </x:c>
      <x:c r="F106" s="42" t="str">
        <x:v>artifacts/appmodel-green-full-1-20260904T220230Z.log</x:v>
      </x:c>
      <x:c r="G106" s="42" t="str">
        <x:v>First complete green suite after removing premature success and retaining relink retry state.</x:v>
      </x:c>
      <x:c r="H106" s="52" t="n">
        <x:v>46269.91840277778</x:v>
      </x:c>
      <x:c r="I106" s="42" t="str">
        <x:v>Do the repaired paths and their surrounding model regressions pass together?</x:v>
      </x:c>
      <x:c r="J106" s="42" t="str">
        <x:v>Yes. All 35 logical tests in two suites passed with zero failures and zero skips.</x:v>
      </x:c>
      <x:c r="K106" s="42" t="str">
        <x:v>Pass</x:v>
      </x:c>
      <x:c r="L106" s="42" t="str">
        <x:v>Paired result bundle: artifacts/appmodel-green-full-1-20260904T220230Z.xcresult. The post-success staging warning is recorded separately from the functional verdict.</x:v>
      </x:c>
    </x:row>
    <x:row r="107">
      <x:c r="A107" s="42" t="str">
        <x:v>EV-ACTIVATION-RELINK-GREEN-002</x:v>
      </x:c>
      <x:c r="B107" s="42" t="str">
        <x:v>Log and XCTest result bundle</x:v>
      </x:c>
      <x:c r="C107" s="42" t="str">
        <x:v>PRF-010, PRF-025, PRF-030, FOC-003, XFR-006, REL-001</x:v>
      </x:c>
      <x:c r="D107" s="42" t="str">
        <x:v>TR-ACTIVATION-RELINK-GREEN-002</x:v>
      </x:c>
      <x:c r="E107" s="42" t="str">
        <x:v>unchanged hosted app model second green regression, 2026-09-04</x:v>
      </x:c>
      <x:c r="F107" s="42" t="str">
        <x:v>artifacts/appmodel-green-full-2-20260904T220310Z.log</x:v>
      </x:c>
      <x:c r="G107" s="42" t="str">
        <x:v>Second unchanged complete suite after the two fixes.</x:v>
      </x:c>
      <x:c r="H107" s="52" t="n">
        <x:v>46269.91886574074</x:v>
      </x:c>
      <x:c r="I107" s="42" t="str">
        <x:v>Does the same corrected suite pass again without source changes?</x:v>
      </x:c>
      <x:c r="J107" s="42" t="str">
        <x:v>Yes. All 35 logical tests in two suites passed again with zero failures and zero skips.</x:v>
      </x:c>
      <x:c r="K107" s="42" t="str">
        <x:v>Pass</x:v>
      </x:c>
      <x:c r="L107" s="42" t="str">
        <x:v>Paired result bundle: artifacts/appmodel-green-full-2-20260904T220310Z.xcresult. Exact hashes and limits are in artifacts/ledger/appmodel-activation-recovery-fix-summary-20260904.json.</x:v>
      </x:c>
    </x:row>
    <x:row r="108">
      <x:c r="A108" s="42" t="str">
        <x:v>EV-ACTIVATION-RELINK-SUMMARY-001</x:v>
      </x:c>
      <x:c r="B108" s="42" t="str">
        <x:v>Manifest</x:v>
      </x:c>
      <x:c r="C108" s="42" t="str">
        <x:v>PRF-010, PRF-025, PRF-030, FOC-003, XFR-006, REL-001</x:v>
      </x:c>
      <x:c r="D108" s="42" t="str">
        <x:v>TR-ACTIVATION-RELINK-GREEN-002</x:v>
      </x:c>
      <x:c r="E108" s="42" t="str">
        <x:v>activation and relink regression sequence, 2026-09-04</x:v>
      </x:c>
      <x:c r="F108" s="42" t="str">
        <x:v>artifacts/ledger/appmodel-activation-recovery-fix-summary-20260904.json</x:v>
      </x:c>
      <x:c r="G108" s="42" t="str">
        <x:v>Hash and result manifest for the red run and two unchanged green runs.</x:v>
      </x:c>
      <x:c r="H108" s="52" t="n">
        <x:v>46269.91886574074</x:v>
      </x:c>
      <x:c r="I108" s="42" t="str">
        <x:v>Does the manifest preserve exact artifacts, outcomes, fixes, and evidence limits?</x:v>
      </x:c>
      <x:c r="J108" s="42" t="str">
        <x:v>Yes. It links all three logs and result bundles, records exact logical outcomes, and excludes real Dock, live Focus, and visible retry verification.</x:v>
      </x:c>
      <x:c r="K108" s="42" t="str">
        <x:v>Pass</x:v>
      </x:c>
      <x:c r="L108" s="42" t="str">
        <x:v>The manifest hashes each log and each result bundle Info.plist.</x:v>
      </x:c>
    </x:row>
    <x:row r="109">
      <x:c r="A109" s="42" t="str">
        <x:v>EV-LIQUID-GLASS-DEFAULT-FIT-001</x:v>
      </x:c>
      <x:c r="B109" s="42" t="str">
        <x:v>Screenshot and accessibility inspection</x:v>
      </x:c>
      <x:c r="C109" s="42" t="str">
        <x:v>UX-003</x:v>
      </x:c>
      <x:c r="D109" s="42" t="str">
        <x:v>TR-LIQUID-GLASS-DEFAULT-FIT-001</x:v>
      </x:c>
      <x:c r="E109" s="42" t="str">
        <x:v>unsigned demo build after fixed-chrome Liquid Glass implementation, 2026-09-04</x:v>
      </x:c>
      <x:c r="F109" s="42" t="str">
        <x:v>artifacts/ui/sidebar-free/glass-default-height-before-fix.png</x:v>
      </x:c>
      <x:c r="G109" s="42" t="str">
        <x:v>Default-size editor with four items and no error state.</x:v>
      </x:c>
      <x:c r="H109" s="52" t="n">
        <x:v>46269.92083333333</x:v>
      </x:c>
      <x:c r="I109" s="42" t="str">
        <x:v>Does the default editor size use the approved fixed native chrome with ordinary content scrolling below it?</x:v>
      </x:c>
      <x:c r="J109" s="42" t="str">
        <x:v>No. The screenshot and accessibility hierarchy show the whole content as the scroll view, while a taller window selects the intended fixed region.</x:v>
      </x:c>
      <x:c r="K109" s="42" t="str">
        <x:v>Fail</x:v>
      </x:c>
      <x:c r="L109" s="42" t="str">
        <x:v>Comparison screenshot: artifacts/ui/sidebar-free/glass-layout-height-check.png. This confirms a default-fit defect, not a motion or contrast verdict.</x:v>
      </x:c>
    </x:row>
    <x:row r="110">
      <x:c r="A110" s="42" t="str">
        <x:v>EV-LEDGER-LIQUID-STORIES-001</x:v>
      </x:c>
      <x:c r="B110" s="42" t="str">
        <x:v>Spreadsheet render</x:v>
      </x:c>
      <x:c r="C110" s="42" t="str">
        <x:v>UX-003, MOT-005</x:v>
      </x:c>
      <x:c r="D110" s="42" t="str">
        <x:v>TR-LEDGER-LIQUID-CHECKPOINT-001</x:v>
      </x:c>
      <x:c r="E110" s="42" t="str">
        <x:v>canonical ledger checkpoint, 2026-09-04</x:v>
      </x:c>
      <x:c r="F110" s="42" t="str">
        <x:v>artifacts/ledger/Stories-liquid-glass-video.png</x:v>
      </x:c>
      <x:c r="G110" s="42" t="str">
        <x:v>Readable definition and verdict slice for fixed native chrome and full-frame reference comparison.</x:v>
      </x:c>
      <x:c r="H110" s="52" t="n">
        <x:v>46269.92291666667</x:v>
      </x:c>
      <x:c r="I110" s="42" t="str">
        <x:v>Does this move dockit closer to a native, obvious, zero-truncation profile switcher?</x:v>
      </x:c>
      <x:c r="J110" s="42" t="str">
        <x:v>Yes. It makes the fixed-chrome boundary and the complete original-timestamp video review explicit while leaving every product verdict open until evidence exists.</x:v>
      </x:c>
      <x:c r="K110" s="42" t="str">
        <x:v>Pass</x:v>
      </x:c>
      <x:c r="L110" s="42" t="str">
        <x:v>The render itself is readable without clipped cells. This is specification evidence, not runtime evidence.</x:v>
      </x:c>
    </x:row>
    <x:row r="111">
      <x:c r="A111" s="42" t="str">
        <x:v>EV-LEDGER-ACTIVATION-GLASS-001</x:v>
      </x:c>
      <x:c r="B111" s="42" t="str">
        <x:v>Spreadsheet render</x:v>
      </x:c>
      <x:c r="C111" s="42" t="str">
        <x:v>UX-003, PRF-010, PRF-025, PRF-030, FOC-003, XFR-006, REL-001</x:v>
      </x:c>
      <x:c r="D111" s="42" t="str">
        <x:v>TR-LEDGER-LIQUID-CHECKPOINT-001</x:v>
      </x:c>
      <x:c r="E111" s="42" t="str">
        <x:v>canonical ledger checkpoint, 2026-09-04</x:v>
      </x:c>
      <x:c r="F111" s="42" t="str">
        <x:v>artifacts/ledger/Stories-activation-glass-checkpoint.png</x:v>
      </x:c>
      <x:c r="G111" s="42" t="str">
        <x:v>Readable status slice separating repeated hosted model passes from the open default-fit and live-system gates.</x:v>
      </x:c>
      <x:c r="H111" s="52" t="n">
        <x:v>46269.92291666667</x:v>
      </x:c>
      <x:c r="I111" s="42" t="str">
        <x:v>Does this move dockit closer to a native, obvious, zero-truncation profile switcher?</x:v>
      </x:c>
      <x:c r="J111" s="42" t="str">
        <x:v>Yes. It shows the fixed model defects, the remaining live checks, and the default-size layout failure without hiding or clipping their status.</x:v>
      </x:c>
      <x:c r="K111" s="42" t="str">
        <x:v>Pass</x:v>
      </x:c>
      <x:c r="L111" s="42" t="str">
        <x:v>The render uses status coloring only on verdict columns. It does not turn any story Verified.</x:v>
      </x:c>
    </x:row>
    <x:row r="112">
      <x:c r="A112" s="42" t="str">
        <x:v>EV-REFERENCE-VIDEO-MANIFEST-001</x:v>
      </x:c>
      <x:c r="B112" s="42" t="str">
        <x:v>Frame manifest</x:v>
      </x:c>
      <x:c r="C112" s="42" t="str">
        <x:v>MOT-005</x:v>
      </x:c>
      <x:c r="D112" s="42" t="str">
        <x:v>TR-REFERENCE-VIDEO-INDEX-001</x:v>
      </x:c>
      <x:c r="E112" s="42" t="str">
        <x:v>reference video indexing tool, 2026-09-04</x:v>
      </x:c>
      <x:c r="F112" s="42" t="str">
        <x:v>artifacts/video-reference/manifest.json</x:v>
      </x:c>
      <x:c r="G112" s="42" t="str">
        <x:v>Full source index with frame identity, original timestamps, original durations, dimensions, byte size, and source hash.</x:v>
      </x:c>
      <x:c r="H112" s="52" t="n">
        <x:v>46269.92291666667</x:v>
      </x:c>
      <x:c r="I112" s="42" t="str">
        <x:v>Does the index preserve every decoded source frame and its original timing without a constant-rate substitution?</x:v>
      </x:c>
      <x:c r="J112" s="42" t="str">
        <x:v>Yes. It contains 2,374 contiguous records with strictly increasing original timestamps and preserves both observed original duration values.</x:v>
      </x:c>
      <x:c r="K112" s="42" t="str">
        <x:v>Pass</x:v>
      </x:c>
      <x:c r="L112" s="42" t="str">
        <x:v>The first frame starts at 0.000000 seconds and the final frame starts at 39.550139 seconds. This does not mean the frames were visually reviewed.</x:v>
      </x:c>
    </x:row>
    <x:row r="113">
      <x:c r="A113" s="42" t="str">
        <x:v>EV-REFERENCE-VIDEO-COVERAGE-001</x:v>
      </x:c>
      <x:c r="B113" s="42" t="str">
        <x:v>Coverage manifest</x:v>
      </x:c>
      <x:c r="C113" s="42" t="str">
        <x:v>MOT-005</x:v>
      </x:c>
      <x:c r="D113" s="42" t="str">
        <x:v>TR-REFERENCE-VIDEO-INDEX-001</x:v>
      </x:c>
      <x:c r="E113" s="42" t="str">
        <x:v>reference video indexing tool, 2026-09-04</x:v>
      </x:c>
      <x:c r="F113" s="42" t="str">
        <x:v>artifacts/ledger/reference-video-coverage-initial-20260904.json</x:v>
      </x:c>
      <x:c r="G113" s="42" t="str">
        <x:v>Explicit completeness gate after source indexing and before visual frame review.</x:v>
      </x:c>
      <x:c r="H113" s="52" t="n">
        <x:v>46269.92291666667</x:v>
      </x:c>
      <x:c r="I113" s="42" t="str">
        <x:v>Is the required 2,374-frame implementation comparison complete?</x:v>
      </x:c>
      <x:c r="J113" s="42" t="str">
        <x:v>No. The coverage manifest records 0 reviewed frames and all 2,374 frames as unreviewed.</x:v>
      </x:c>
      <x:c r="K113" s="42" t="str">
        <x:v>Fail</x:v>
      </x:c>
      <x:c r="L113" s="42" t="str">
        <x:v>This immutable summary preserves the initial 0 of 2,374 state. The live coverage manifest advanced after frame 0 was explicitly annotated.</x:v>
      </x:c>
    </x:row>
    <x:row r="114">
      <x:c r="A114" s="42" t="str">
        <x:v>EV-REFERENCE-VIDEO-EXTRACTION-001</x:v>
      </x:c>
      <x:c r="B114" s="42" t="str">
        <x:v>Extraction manifest</x:v>
      </x:c>
      <x:c r="C114" s="42" t="str">
        <x:v>MOT-005</x:v>
      </x:c>
      <x:c r="D114" s="42" t="str">
        <x:v>TR-REFERENCE-VIDEO-INDEX-001</x:v>
      </x:c>
      <x:c r="E114" s="42" t="str">
        <x:v>reference video indexing tool, 2026-09-04</x:v>
      </x:c>
      <x:c r="F114" s="42" t="str">
        <x:v>artifacts/video-reference/frames/extraction-000000-000005.json</x:v>
      </x:c>
      <x:c r="G114" s="42" t="str">
        <x:v>Lossless extraction proof for source frames 0 through 5.</x:v>
      </x:c>
      <x:c r="H114" s="52" t="n">
        <x:v>46269.92291666667</x:v>
      </x:c>
      <x:c r="I114" s="42" t="str">
        <x:v>Can the tool extract exact indexed frames without losing their source identity?</x:v>
      </x:c>
      <x:c r="J114" s="42" t="str">
        <x:v>Yes. Six PNG files were extracted at the source 2160 by 2160 dimensions with their indexed timing metadata.</x:v>
      </x:c>
      <x:c r="K114" s="42" t="str">
        <x:v>Pass</x:v>
      </x:c>
      <x:c r="L114" s="42" t="str">
        <x:v>These six files test the extraction lever. They are not a sample-based substitute for the complete comparison.</x:v>
      </x:c>
    </x:row>
    <x:row r="115">
      <x:c r="A115" s="42" t="str">
        <x:v>EV-REFERENCE-DETAIL-APP-BEFORE-001</x:v>
      </x:c>
      <x:c r="B115" s="42" t="str">
        <x:v>Screenshot</x:v>
      </x:c>
      <x:c r="C115" s="42" t="str">
        <x:v>PRF-004, PRF-023, PRF-028, MEN-005, UX-003</x:v>
      </x:c>
      <x:c r="D115" s="42" t="str">
        <x:v>TR-REFERENCE-DETAIL-VISUAL-001</x:v>
      </x:c>
      <x:c r="E115" s="42" t="str">
        <x:v>unsigned light demo before reference-detail corrections, 2026-09-04</x:v>
      </x:c>
      <x:c r="F115" s="42" t="str">
        <x:v>artifacts/ui/sidebar-free/reference-detail-before.png</x:v>
      </x:c>
      <x:c r="G115" s="42" t="str">
        <x:v>Fresh default-size implementation screenshot used for detail comparison.</x:v>
      </x:c>
      <x:c r="H115" s="52" t="n">
        <x:v>46269.925</x:v>
      </x:c>
      <x:c r="I115" s="42" t="str">
        <x:v>Does this move dockit closer to a native, obvious, zero-truncation profile switcher?</x:v>
      </x:c>
      <x:c r="J115" s="42" t="str">
        <x:v>No. Text remains visible, but the default fallback, spacer symbols, identity treatment, and picker placement miss the approved reference details.</x:v>
      </x:c>
      <x:c r="K115" s="42" t="str">
        <x:v>Fail</x:v>
      </x:c>
      <x:c r="L115" s="42" t="str">
        <x:v>The screenshot is 620 by 292 pixels including its title bar. It is before evidence for five open visual defects.</x:v>
      </x:c>
    </x:row>
    <x:row r="116">
      <x:c r="A116" s="42" t="str">
        <x:v>EV-REFERENCE-FRAME-000000-001</x:v>
      </x:c>
      <x:c r="B116" s="42" t="str">
        <x:v>Reference frame</x:v>
      </x:c>
      <x:c r="C116" s="42" t="str">
        <x:v>PRF-004, PRF-023, PRF-028, MEN-005, UX-003, MOT-005</x:v>
      </x:c>
      <x:c r="D116" s="42" t="str">
        <x:v>TR-REFERENCE-DETAIL-VISUAL-001</x:v>
      </x:c>
      <x:c r="E116" s="42" t="str">
        <x:v>supplied reference video source frame 0</x:v>
      </x:c>
      <x:c r="F116" s="42" t="str">
        <x:v>artifacts/video-reference/frames/frame-000000.png</x:v>
      </x:c>
      <x:c r="G116" s="42" t="str">
        <x:v>Original-resolution source frame showing the approved profile editor composition and preview details.</x:v>
      </x:c>
      <x:c r="H116" s="52" t="n">
        <x:v>46269.925</x:v>
      </x:c>
      <x:c r="I116" s="42" t="str">
        <x:v>Does this frame clearly expose the reference details needed for the current comparison?</x:v>
      </x:c>
      <x:c r="J116" s="42" t="str">
        <x:v>Yes. It shows the softly filled spacer slot with center rule, white-backed identity squircle, traffic-light-row picker with paired chevrons, and fixed action treatment.</x:v>
      </x:c>
      <x:c r="K116" s="42" t="str">
        <x:v>Pass</x:v>
      </x:c>
      <x:c r="L116" s="42" t="str">
        <x:v>Only source frame 0 was inspected. Formal review coverage remains 0 of 2,374 until an annotation is recorded through the video coverage tool.</x:v>
      </x:c>
    </x:row>
    <x:row r="117">
      <x:c r="A117" s="42" t="str">
        <x:v>EV-LIQUID-GLASS-REVIEW-001</x:v>
      </x:c>
      <x:c r="B117" s="42" t="str">
        <x:v>Review record</x:v>
      </x:c>
      <x:c r="C117" s="42" t="str">
        <x:v>PRF-004, PRF-023, PRF-028, MEN-005, UX-003, MOT-005</x:v>
      </x:c>
      <x:c r="D117" s="42" t="str">
        <x:v>TR-REFERENCE-DETAIL-VISUAL-001</x:v>
      </x:c>
      <x:c r="E117" s="42" t="str">
        <x:v>reference-detail and icon audit checkpoint, 2026-09-04</x:v>
      </x:c>
      <x:c r="F117" s="42" t="str">
        <x:v>artifacts/ui/sidebar-free/liquid-glass-review.md</x:v>
      </x:c>
      <x:c r="G117" s="42" t="str">
        <x:v>Append-only review of the default-size editor, source frame 0, fit behavior, intentional differences, and rejected icon candidates.</x:v>
      </x:c>
      <x:c r="H117" s="52" t="n">
        <x:v>46269.925</x:v>
      </x:c>
      <x:c r="I117" s="42" t="str">
        <x:v>Does the record separate observed visual differences from verified fixes and complete frame review?</x:v>
      </x:c>
      <x:c r="J117" s="42" t="str">
        <x:v>Yes. It names each current mismatch, preserves intentional differences, rejects two failed icon candidates, and states that the remaining frames, motion, VoiceOver, live Dock, and Focus are unverified.</x:v>
      </x:c>
      <x:c r="K117" s="42" t="str">
        <x:v>Pass</x:v>
      </x:c>
      <x:c r="L117" s="42" t="str">
        <x:v>This review record is evidence about audit quality and open state. Its current app screenshot is still a visual failure.</x:v>
      </x:c>
    </x:row>
    <x:row r="118">
      <x:c r="A118" s="42" t="str">
        <x:v>EV-ICON-CANDIDATE-REJECTIONS-002</x:v>
      </x:c>
      <x:c r="B118" s="42" t="str">
        <x:v>Review record</x:v>
      </x:c>
      <x:c r="C118" s="42" t="str">
        <x:v>UX-002</x:v>
      </x:c>
      <x:c r="D118" s="42" t="str">
        <x:v>TR-ICON-CANDIDATE-REJECTIONS-002</x:v>
      </x:c>
      <x:c r="E118" s="42" t="str">
        <x:v>two generated transparency-cleanup candidates, 2026-09-04</x:v>
      </x:c>
      <x:c r="F118" s="42" t="str">
        <x:v>artifacts/ui/sidebar-free/liquid-glass-review.md</x:v>
      </x:c>
      <x:c r="G118" s="42" t="str">
        <x:v>Durable audit of two rejected generated icon candidates and the unchanged production state.</x:v>
      </x:c>
      <x:c r="H118" s="52" t="n">
        <x:v>46269.925</x:v>
      </x:c>
      <x:c r="I118" s="42" t="str">
        <x:v>Does either generated candidate satisfy the production icon gate?</x:v>
      </x:c>
      <x:c r="J118" s="42" t="str">
        <x:v>No. One retains opaque corners and white flecks, while the other is opaque RGB with a painted checkerboard.</x:v>
      </x:c>
      <x:c r="K118" s="42" t="str">
        <x:v>Fail</x:v>
      </x:c>
      <x:c r="L118" s="42" t="str">
        <x:v>Neither candidate was installed. The selected direction, valid master, raster sizes, menu template, and appearance review remain open.</x:v>
      </x:c>
    </x:row>
    <x:row r="119">
      <x:c r="A119" s="42" t="str">
        <x:v>EV-LIQUID-GLASS-FIRST-AFTER-001</x:v>
      </x:c>
      <x:c r="B119" s="42" t="str">
        <x:v>Screenshot</x:v>
      </x:c>
      <x:c r="C119" s="42" t="str">
        <x:v>PRF-004, PRF-023, PRF-028, MEN-005, UX-003</x:v>
      </x:c>
      <x:c r="D119" s="42" t="str">
        <x:v>TR-LIQUID-GLASS-FIRST-RETEST-001</x:v>
      </x:c>
      <x:c r="E119" s="42" t="str">
        <x:v>live light demo after the first reference-detail repair, 2026-09-04</x:v>
      </x:c>
      <x:c r="F119" s="42" t="str">
        <x:v>artifacts/ui/sidebar-free/work-reference-steady-after.png</x:v>
      </x:c>
      <x:c r="G119" s="42" t="str">
        <x:v>Steady focused work profile at default size after the first detail correction.</x:v>
      </x:c>
      <x:c r="H119" s="52" t="n">
        <x:v>46269.92916666667</x:v>
      </x:c>
      <x:c r="I119" s="42" t="str">
        <x:v>Does this move dockit closer to a native, obvious, zero-truncation profile switcher?</x:v>
      </x:c>
      <x:c r="J119" s="42" t="str">
        <x:v>Closer, but not enough to pass. Default fit, the squircle, badge backing, and spacer treatment improved, while the picker chevrons are missing and Apply contrast is poor.</x:v>
      </x:c>
      <x:c r="K119" s="42" t="str">
        <x:v>Fail</x:v>
      </x:c>
      <x:c r="L119" s="42" t="str">
        <x:v>The red, yellow, and green traffic lights confirm the focused-window appearance used for contrast review.</x:v>
      </x:c>
    </x:row>
    <x:row r="120">
      <x:c r="A120" s="42" t="str">
        <x:v>EV-LIQUID-GLASS-FOCUSED-CONTRAST-001</x:v>
      </x:c>
      <x:c r="B120" s="42" t="str">
        <x:v>Screenshot</x:v>
      </x:c>
      <x:c r="C120" s="42" t="str">
        <x:v>PRF-023, MEN-005, UX-003</x:v>
      </x:c>
      <x:c r="D120" s="42" t="str">
        <x:v>TR-LIQUID-GLASS-FIRST-RETEST-001</x:v>
      </x:c>
      <x:c r="E120" s="42" t="str">
        <x:v>live light demo after the first reference-detail repair, 2026-09-04</x:v>
      </x:c>
      <x:c r="F120" s="42" t="str">
        <x:v>artifacts/ui/sidebar-free/reference-detail-focused-after.png</x:v>
      </x:c>
      <x:c r="G120" s="42" t="str">
        <x:v>Focused long-name profile showing the first native glass action treatment.</x:v>
      </x:c>
      <x:c r="H120" s="52" t="n">
        <x:v>46269.92916666667</x:v>
      </x:c>
      <x:c r="I120" s="42" t="str">
        <x:v>Are the fixed actions and profile picker clear and legible in the active window?</x:v>
      </x:c>
      <x:c r="J120" s="42" t="str">
        <x:v>No. The Apply foreground and fill are too similar, and the picker does not expose the requested paired chevrons.</x:v>
      </x:c>
      <x:c r="K120" s="42" t="str">
        <x:v>Fail</x:v>
      </x:c>
      <x:c r="L120" s="42" t="str">
        <x:v>The long profile name remains visible without ellipsis. This screenshot is not motion or VoiceOver evidence.</x:v>
      </x:c>
    </x:row>
    <x:row r="121">
      <x:c r="A121" s="42" t="str">
        <x:v>EV-SETTINGS-LIGHT-COMPACT-TOP-001</x:v>
      </x:c>
      <x:c r="B121" s="42" t="str">
        <x:v>Screenshot</x:v>
      </x:c>
      <x:c r="C121" s="42" t="str">
        <x:v>SET-001, SET-002, SET-003</x:v>
      </x:c>
      <x:c r="D121" s="42" t="str">
        <x:v>TR-SETTINGS-LIGHT-LAYOUT-001</x:v>
      </x:c>
      <x:c r="E121" s="42" t="str">
        <x:v>current light demo settings, 2026-09-04</x:v>
      </x:c>
      <x:c r="F121" s="42" t="str">
        <x:v>artifacts/ui/sidebar-free/settings-light-current.png</x:v>
      </x:c>
      <x:c r="G121" s="42" t="str">
        <x:v>Compact light Settings top and middle regions.</x:v>
      </x:c>
      <x:c r="H121" s="52" t="n">
        <x:v>46269.92916666667</x:v>
      </x:c>
      <x:c r="I121" s="42" t="str">
        <x:v>Does this move dockit closer to a native, obvious, zero-truncation profile switcher?</x:v>
      </x:c>
      <x:c r="J121" s="42" t="str">
        <x:v>Yes for the inspected layout. General and Focus use one readable sidebar-free page with standard rows and no visible ellipsis.</x:v>
      </x:c>
      <x:c r="K121" s="42" t="str">
        <x:v>Pass</x:v>
      </x:c>
      <x:c r="L121" s="42" t="str">
        <x:v>The lower groups require scrolling and are proved by the paired lower capture. No control behavior is claimed.</x:v>
      </x:c>
    </x:row>
    <x:row r="122">
      <x:c r="A122" s="42" t="str">
        <x:v>EV-SETTINGS-LIGHT-COMPACT-LOWER-001</x:v>
      </x:c>
      <x:c r="B122" s="42" t="str">
        <x:v>Screenshot</x:v>
      </x:c>
      <x:c r="C122" s="42" t="str">
        <x:v>SET-001, SET-004, UX-002</x:v>
      </x:c>
      <x:c r="D122" s="42" t="str">
        <x:v>TR-SETTINGS-LIGHT-ABOUT-001</x:v>
      </x:c>
      <x:c r="E122" s="42" t="str">
        <x:v>current light demo settings with old icon, 2026-09-04</x:v>
      </x:c>
      <x:c r="F122" s="42" t="str">
        <x:v>artifacts/ui/sidebar-free/settings-light-minimum-lower.png</x:v>
      </x:c>
      <x:c r="G122" s="42" t="str">
        <x:v>Compact light Settings scrolled through Data and Privacy to About.</x:v>
      </x:c>
      <x:c r="H122" s="52" t="n">
        <x:v>46269.92916666667</x:v>
      </x:c>
      <x:c r="I122" s="42" t="str">
        <x:v>Does the compact page reach every group without text truncation and show the selected final icon?</x:v>
      </x:c>
      <x:c r="J122" s="42" t="str">
        <x:v>It reaches every group and the text remains visible, but the old icon remains, so the full result does not pass.</x:v>
      </x:c>
      <x:c r="K122" s="42" t="str">
        <x:v>Fail</x:v>
      </x:c>
      <x:c r="L122" s="42" t="str">
        <x:v>This keeps the existing icon defect open while recording the successful scroll and text layout.</x:v>
      </x:c>
    </x:row>
    <x:row r="123">
      <x:c r="A123" s="42" t="str">
        <x:v>EV-SETTINGS-LIGHT-DEFAULT-001</x:v>
      </x:c>
      <x:c r="B123" s="42" t="str">
        <x:v>Screenshot</x:v>
      </x:c>
      <x:c r="C123" s="42" t="str">
        <x:v>SET-001, SET-002, SET-003, SET-004</x:v>
      </x:c>
      <x:c r="D123" s="42" t="str">
        <x:v>TR-SETTINGS-LIGHT-LAYOUT-001</x:v>
      </x:c>
      <x:c r="E123" s="42" t="str">
        <x:v>current light demo settings, 2026-09-04</x:v>
      </x:c>
      <x:c r="F123" s="42" t="str">
        <x:v>artifacts/ui/sidebar-free/settings-light-default-current.png</x:v>
      </x:c>
      <x:c r="G123" s="42" t="str">
        <x:v>Larger light Settings window showing the one-page group hierarchy and normal scrolling.</x:v>
      </x:c>
      <x:c r="H123" s="52" t="n">
        <x:v>46269.92916666667</x:v>
      </x:c>
      <x:c r="I123" s="42" t="str">
        <x:v>Does the larger light window preserve the one-page native hierarchy without clipped text?</x:v>
      </x:c>
      <x:c r="J123" s="42" t="str">
        <x:v>Yes in the inspected state. The grouped layout remains readable, scrollable, and free of visible app-authored ellipsis.</x:v>
      </x:c>
      <x:c r="K123" s="42" t="str">
        <x:v>Pass</x:v>
      </x:c>
      <x:c r="L123" s="42" t="str">
        <x:v>About remains below the visible fold and is covered by the compact lower capture.</x:v>
      </x:c>
    </x:row>
    <x:row r="124">
      <x:c r="A124" s="42" t="str">
        <x:v>EV-REFERENCE-FRAME-000000-ANNOTATION-001</x:v>
      </x:c>
      <x:c r="B124" s="42" t="str">
        <x:v>Frame annotation summary</x:v>
      </x:c>
      <x:c r="C124" s="42" t="str">
        <x:v>MOT-005, PRF-004, PRF-023, PRF-028, MEN-005, UX-003</x:v>
      </x:c>
      <x:c r="D124" s="42" t="str">
        <x:v>TR-REFERENCE-FRAME-000000-REVIEW-001</x:v>
      </x:c>
      <x:c r="E124" s="42" t="str">
        <x:v>frame 0 original-timestamp reference comparison, 2026-09-04</x:v>
      </x:c>
      <x:c r="F124" s="42" t="str">
        <x:v>artifacts/ledger/reference-video-frame0-review-summary-20260904.json</x:v>
      </x:c>
      <x:c r="G124" s="42" t="str">
        <x:v>Immutable summary of the first formal source-frame comparison and its fixture limits.</x:v>
      </x:c>
      <x:c r="H124" s="52" t="n">
        <x:v>46269.92763888889</x:v>
      </x:c>
      <x:c r="I124" s="42" t="str">
        <x:v>Does frame 0 match the current app closely enough to count as a completed comparison?</x:v>
      </x:c>
      <x:c r="J124" s="42" t="str">
        <x:v>It counts as one reviewed comparison with outcome difference. The picker, identity backing, spacer, and default control treatment differed, while fixture state and camera scale limit the scope.</x:v>
      </x:c>
      <x:c r="K124" s="42" t="str">
        <x:v>Fail</x:v>
      </x:c>
      <x:c r="L124" s="42" t="str">
        <x:v>The full annotations file retains a record for every frame. This summary keeps the single reviewed record readable and immutable.</x:v>
      </x:c>
    </x:row>
    <x:row r="125">
      <x:c r="A125" s="42" t="str">
        <x:v>EV-REFERENCE-VIDEO-COVERAGE-002</x:v>
      </x:c>
      <x:c r="B125" s="42" t="str">
        <x:v>Coverage manifest</x:v>
      </x:c>
      <x:c r="C125" s="42" t="str">
        <x:v>MOT-005</x:v>
      </x:c>
      <x:c r="D125" s="42" t="str">
        <x:v>TR-REFERENCE-FRAME-000000-REVIEW-001</x:v>
      </x:c>
      <x:c r="E125" s="42" t="str">
        <x:v>frame 0 original-timestamp reference comparison, 2026-09-04</x:v>
      </x:c>
      <x:c r="F125" s="42" t="str">
        <x:v>artifacts/video-reference/coverage.json</x:v>
      </x:c>
      <x:c r="G125" s="42" t="str">
        <x:v>Coverage after the first formal frame annotation.</x:v>
      </x:c>
      <x:c r="H125" s="52" t="n">
        <x:v>46269.92763888889</x:v>
      </x:c>
      <x:c r="I125" s="42" t="str">
        <x:v>Is the full original-timestamp reference comparison complete after frame 0?</x:v>
      </x:c>
      <x:c r="J125" s="42" t="str">
        <x:v>No. Coverage is 1 reviewed frame and 2,373 unreviewed frames, with complete set to false.</x:v>
      </x:c>
      <x:c r="K125" s="42" t="str">
        <x:v>Fail</x:v>
      </x:c>
      <x:c r="L125" s="42" t="str">
        <x:v>The one reviewed outcome is difference. The remaining frames stay explicitly unreviewed.</x:v>
      </x:c>
    </x:row>
    <x:row r="126">
      <x:c r="A126" s="42" t="str">
        <x:v>EV-PROFILE-COLOR-TESTS-001</x:v>
      </x:c>
      <x:c r="B126" s="42" t="str">
        <x:v>Automated test log</x:v>
      </x:c>
      <x:c r="C126" s="42" t="str">
        <x:v>PRF-004, PRF-023, MEN-005, UX-003</x:v>
      </x:c>
      <x:c r="D126" s="42" t="str">
        <x:v>TR-PROFILE-COLOR-PALETTE-001</x:v>
      </x:c>
      <x:c r="E126" s="42" t="str">
        <x:v>current profile color style implementation, 2026-09-04</x:v>
      </x:c>
      <x:c r="F126" s="42" t="str">
        <x:v>artifacts/profile-color-tests.log</x:v>
      </x:c>
      <x:c r="G126" s="42" t="str">
        <x:v>Hosted profile color gamut, graphical contrast, logical size, and relative chroma checks.</x:v>
      </x:c>
      <x:c r="H126" s="52" t="n">
        <x:v>46269.93263888889</x:v>
      </x:c>
      <x:c r="I126" s="42" t="str">
        <x:v>Does this evidence prove the approved decorative profile palette contract?</x:v>
      </x:c>
      <x:c r="J126" s="42" t="str">
        <x:v>Yes for the automated scope. Two of two tests pass for all nine saved color identifiers. This does not prove text contrast or live native surface behavior.</x:v>
      </x:c>
      <x:c r="K126" s="42" t="str">
        <x:v>Pass</x:v>
      </x:c>
      <x:c r="L126" s="42" t="str">
        <x:v>The minimum measured graphical contrast is 3.215:1. The identity colors contain no text.</x:v>
      </x:c>
    </x:row>
    <x:row r="127">
      <x:c r="A127" s="42" t="str">
        <x:v>EV-PROFILE-COLOR-AUDIT-001</x:v>
      </x:c>
      <x:c r="B127" s="42" t="str">
        <x:v>Design audit</x:v>
      </x:c>
      <x:c r="C127" s="42" t="str">
        <x:v>PRF-004, PRF-023, MEN-005, UX-003</x:v>
      </x:c>
      <x:c r="D127" s="42" t="str">
        <x:v>TR-PROFILE-COLOR-PALETTE-001</x:v>
      </x:c>
      <x:c r="E127" s="42" t="str">
        <x:v>current profile color style implementation and first live light captures, 2026-09-04</x:v>
      </x:c>
      <x:c r="F127" s="42" t="str">
        <x:v>artifacts/ui/sidebar-free/liquid-glass-review.md</x:v>
      </x:c>
      <x:c r="G127" s="42" t="str">
        <x:v>Before and after palette table with measured graphical contrast and explicit evidence limits.</x:v>
      </x:c>
      <x:c r="H127" s="52" t="n">
        <x:v>46269.93263888889</x:v>
      </x:c>
      <x:c r="I127" s="42" t="str">
        <x:v>Does the reviewed identity palette improve profile distinction without making a claim its evidence cannot support?</x:v>
      </x:c>
      <x:c r="J127" s="42" t="str">
        <x:v>Yes. The palette uses equal OKLCH lightness and measured graphical contrast for decorative marks, while the audit explicitly leaves text contrast and untested native surfaces open.</x:v>
      </x:c>
      <x:c r="K127" s="42" t="str">
        <x:v>Pass</x:v>
      </x:c>
      <x:c r="L127" s="42" t="str">
        <x:v>The white identity underlay uses a 14 percent black decorative boundary. No text appears inside the color marks.</x:v>
      </x:c>
    </x:row>
    <x:row r="128">
      <x:c r="A128" s="42" t="str">
        <x:v>EV-LONG-NAME-MINIMUM-LIGHT-001</x:v>
      </x:c>
      <x:c r="B128" s="42" t="str">
        <x:v>Screenshot</x:v>
      </x:c>
      <x:c r="C128" s="42" t="str">
        <x:v>PRF-003, PRF-023, PRF-029, UX-001, UX-003</x:v>
      </x:c>
      <x:c r="D128" s="42" t="str">
        <x:v>TR-LONG-NAME-MINIMUM-LIGHT-001</x:v>
      </x:c>
      <x:c r="E128" s="42" t="str">
        <x:v>current light demo after the first fixed-chrome repair, 2026-09-04</x:v>
      </x:c>
      <x:c r="F128" s="42" t="str">
        <x:v>artifacts/ui/sidebar-free/long-name-minimum-first-after.png</x:v>
      </x:c>
      <x:c r="G128" s="42" t="str">
        <x:v>A 32-grapheme ASCII profile in a 520 by 312 pixel capture with adaptive action stacking.</x:v>
      </x:c>
      <x:c r="H128" s="52" t="n">
        <x:v>46269.93125</x:v>
      </x:c>
      <x:c r="I128" s="42" t="str">
        <x:v>Does this move dockit closer to a native, obvious, zero-truncation profile switcher?</x:v>
      </x:c>
      <x:c r="J128" s="42" t="str">
        <x:v>Yes for this constrained layout. The full name remains visible in both locations and the controls stack instead of clipping or showing overflow dots.</x:v>
      </x:c>
      <x:c r="K128" s="42" t="str">
        <x:v>Pass</x:v>
      </x:c>
      <x:c r="L128" s="42" t="str">
        <x:v>This screenshot does not prove the 32-grapheme input policy, persistence, text speech, or other app surfaces. The Apply contrast defect remains visible.</x:v>
      </x:c>
    </x:row>
    <x:row r="129">
      <x:c r="A129" s="42" t="str">
        <x:v>EV-REFERENCE-FRAME-000480-PREFLIGHT-001</x:v>
      </x:c>
      <x:c r="B129" s="42" t="str">
        <x:v>Reference frame</x:v>
      </x:c>
      <x:c r="C129" s="42" t="str">
        <x:v>MOT-005</x:v>
      </x:c>
      <x:c r="D129" s="42" t="str">
        <x:v>TR-REFERENCE-FRAME-000480-PREFLIGHT-001</x:v>
      </x:c>
      <x:c r="E129" s="42" t="str">
        <x:v>immutable source video index, 2026-09-04</x:v>
      </x:c>
      <x:c r="F129" s="42" t="str">
        <x:v>artifacts/video-reference/frames/frame-000480.png</x:v>
      </x:c>
      <x:c r="G129" s="42" t="str">
        <x:v>Original-resolution source frame 480 awaiting an equivalent current edit-menu capture.</x:v>
      </x:c>
      <x:c r="H129" s="52" t="n">
        <x:v>46269.93125</x:v>
      </x:c>
      <x:c r="I129" s="42" t="str">
        <x:v>Can frame 480 be counted as a completed product comparison?</x:v>
      </x:c>
      <x:c r="J129" s="42" t="str">
        <x:v>No. The source state is understood, but no equivalent current capture exists for the required comparison.</x:v>
      </x:c>
      <x:c r="K129" s="42" t="str">
        <x:v>Blocked</x:v>
      </x:c>
      <x:c r="L129" s="42" t="str">
        <x:v>The frame remains in the unreviewed set. Full comparison coverage remains 1 of 2,374.</x:v>
      </x:c>
    </x:row>
    <x:row r="130">
      <x:c r="A130" s="42" t="str">
        <x:v>EV-SMALL-SPACER-KEYBOARD-LIGHT-001</x:v>
      </x:c>
      <x:c r="B130" s="42" t="str">
        <x:v>Screenshot and interaction observation</x:v>
      </x:c>
      <x:c r="C130" s="42" t="str">
        <x:v>PRF-020, PRF-021, PRF-022, PRF-023, PRF-028, PRF-030, MEN-004</x:v>
      </x:c>
      <x:c r="D130" s="42" t="str">
        <x:v>TR-SMALL-SPACER-KEYBOARD-LIGHT-001</x:v>
      </x:c>
      <x:c r="E130" s="42" t="str">
        <x:v>live light demo before the unified title-label cleanup, 2026-09-04</x:v>
      </x:c>
      <x:c r="F130" s="42" t="str">
        <x:v>artifacts/ui/sidebar-free/small-spacer-keyboard-light.png</x:v>
      </x:c>
      <x:c r="G130" s="42" t="str">
        <x:v>Selected small spacer after native keyboard movement inside an inactive saved profile.</x:v>
      </x:c>
      <x:c r="H130" s="52" t="n">
        <x:v>46269.93472222222</x:v>
      </x:c>
      <x:c r="I130" s="42" t="str">
        <x:v>Does this move dockit closer to a native, obvious, zero-truncation profile switcher?</x:v>
      </x:c>
      <x:c r="J130" s="42" t="str">
        <x:v>Yes for this editing step. The small spacer has a distinct shape, keyboard movement is reflected in exact order, and the saved inactive state remains clear.</x:v>
      </x:c>
      <x:c r="K130" s="42" t="str">
        <x:v>Pass</x:v>
      </x:c>
      <x:c r="L130" s="42" t="str">
        <x:v>The capture file is JPEG encoded despite its .png filename. It proves the visible final state, while the interaction sequence was observed live. It does not prove relaunch persistence, VoiceOver speech, or real Dock behavior.</x:v>
      </x:c>
    </x:row>
    <x:row r="131">
      <x:c r="A131" s="42" t="str">
        <x:v>EV-EDITOR-FINAL-CHROME-LIGHT-001</x:v>
      </x:c>
      <x:c r="B131" s="42" t="str">
        <x:v>Screenshot set</x:v>
      </x:c>
      <x:c r="C131" s="42" t="str">
        <x:v>PRF-004, PRF-023, PRF-029, MEN-005, UX-001, UX-003</x:v>
      </x:c>
      <x:c r="D131" s="42" t="str">
        <x:v>TR-EDITOR-FINAL-CHROME-001</x:v>
      </x:c>
      <x:c r="E131" s="42" t="str">
        <x:v>live unified compact-titlebar demo, 2026-09-04</x:v>
      </x:c>
      <x:c r="F131" s="42" t="str">
        <x:v>artifacts/ui/sidebar-free/editor-light-default-final.png; artifacts/ui/sidebar-free/editor-light-minimum-final.png</x:v>
      </x:c>
      <x:c r="G131" s="42" t="str">
        <x:v>Collapsed light editor at default and minimum widths after picker alignment and Apply foreground corrections.</x:v>
      </x:c>
      <x:c r="H131" s="52" t="n">
        <x:v>46269.93958333333</x:v>
      </x:c>
      <x:c r="I131" s="42" t="str">
        <x:v>Does this move dockit closer to a native, obvious, zero-truncation profile switcher?</x:v>
      </x:c>
      <x:c r="J131" s="42" t="str">
        <x:v>Yes for the inspected light collapsed states. The picker is in the single titlebar row, the disclosure glyph is complete, the Apply label is legible, and the full maximum-length name remains visible.</x:v>
      </x:c>
      <x:c r="K131" s="42" t="str">
        <x:v>Pass</x:v>
      </x:c>
      <x:c r="L131" s="42" t="str">
        <x:v>The default image is 620 by 300 pixels and the minimum image is 520 by 300 pixels. Both files are JPEG encoded despite their .png names. No control interaction or accessibility speech is claimed.</x:v>
      </x:c>
    </x:row>
    <x:row r="132">
      <x:c r="A132" s="42" t="str">
        <x:v>EV-EDITOR-FINAL-CHROME-DARK-001</x:v>
      </x:c>
      <x:c r="B132" s="42" t="str">
        <x:v>Screenshot set</x:v>
      </x:c>
      <x:c r="C132" s="42" t="str">
        <x:v>PRF-004, PRF-023, PRF-029, MEN-005, UX-001, UX-003</x:v>
      </x:c>
      <x:c r="D132" s="42" t="str">
        <x:v>TR-EDITOR-FINAL-CHROME-001</x:v>
      </x:c>
      <x:c r="E132" s="42" t="str">
        <x:v>live unified compact-titlebar demo, 2026-09-04</x:v>
      </x:c>
      <x:c r="F132" s="42" t="str">
        <x:v>artifacts/ui/sidebar-free/editor-dark-default-final.png; artifacts/ui/sidebar-free/editor-dark-minimum-final.png</x:v>
      </x:c>
      <x:c r="G132" s="42" t="str">
        <x:v>Collapsed dark editor at default and minimum widths after picker alignment and Apply foreground corrections.</x:v>
      </x:c>
      <x:c r="H132" s="52" t="n">
        <x:v>46269.94027777778</x:v>
      </x:c>
      <x:c r="I132" s="42" t="str">
        <x:v>Do the picker, profile identity, fixed actions, and full profile name remain readable in dark appearance?</x:v>
      </x:c>
      <x:c r="J132" s="42" t="str">
        <x:v>Yes in both inspected dark states. The white identity backing remains distinct, the paired chevrons render, the Apply label is light against its blue fill, and the full name remains visible.</x:v>
      </x:c>
      <x:c r="K132" s="42" t="str">
        <x:v>Pass</x:v>
      </x:c>
      <x:c r="L132" s="42" t="str">
        <x:v>This is visual evidence only. Increased Contrast, Reduced Transparency, pressed and disabled controls, motion, and VoiceOver remain open.</x:v>
      </x:c>
    </x:row>
    <x:row r="133">
      <x:c r="A133" s="42" t="str">
        <x:v>EV-DETAILS-SCROLL-BOUNDARY-RED-001</x:v>
      </x:c>
      <x:c r="B133" s="42" t="str">
        <x:v>Screenshot and accessibility observation</x:v>
      </x:c>
      <x:c r="C133" s="42" t="str">
        <x:v>PRF-023, MEN-005, UX-001, UX-003</x:v>
      </x:c>
      <x:c r="D133" s="42" t="str">
        <x:v>TR-DETAILS-SCROLL-BOUNDARY-RED-001</x:v>
      </x:c>
      <x:c r="E133" s="42" t="str">
        <x:v>live unified compact-titlebar demo before the details-scroll correction, 2026-09-04</x:v>
      </x:c>
      <x:c r="F133" s="42" t="str">
        <x:v>artifacts/ui/sidebar-free/details-dark-minimum-final.png</x:v>
      </x:c>
      <x:c r="G133" s="42" t="str">
        <x:v>Expanded details at minimum width after the full editor incorrectly enters the outer scrolling fallback.</x:v>
      </x:c>
      <x:c r="H133" s="52" t="n">
        <x:v>46269.94097222222</x:v>
      </x:c>
      <x:c r="I133" s="42" t="str">
        <x:v>Does expanding details preserve the native fixed controls and independent ordinary scrolling boundary?</x:v>
      </x:c>
      <x:c r="J133" s="42" t="str">
        <x:v>No. The identity disappears and the actions clip because the entire body becomes the scroll container.</x:v>
      </x:c>
      <x:c r="K133" s="42" t="str">
        <x:v>Fail</x:v>
      </x:c>
      <x:c r="L133" s="42" t="str">
        <x:v>The image file is JPEG encoded despite its .png name. The accessibility hierarchy also reports the identity, actions, and preview inside the outer ScrollView.</x:v>
      </x:c>
    </x:row>
    <x:row r="134">
      <x:c r="A134" s="42" t="str">
        <x:v>EV-DETAILS-INDEPENDENT-OPEN-001</x:v>
      </x:c>
      <x:c r="B134" s="42" t="str">
        <x:v>Screenshot and accessibility observation</x:v>
      </x:c>
      <x:c r="C134" s="42" t="str">
        <x:v>PRF-023, MEN-005, UX-001, UX-003</x:v>
      </x:c>
      <x:c r="D134" s="42" t="str">
        <x:v>TR-DETAILS-INDEPENDENT-SCROLL-GREEN-001</x:v>
      </x:c>
      <x:c r="E134" s="42" t="str">
        <x:v>live dark demo after the details-scroll boundary correction, 2026-09-04</x:v>
      </x:c>
      <x:c r="F134" s="42" t="str">
        <x:v>artifacts/ui/sidebar-free/details-independent-scroll-after.png</x:v>
      </x:c>
      <x:c r="G134" s="42" t="str">
        <x:v>Expanded details at minimum size before moving the independent lower scroller.</x:v>
      </x:c>
      <x:c r="H134" s="52" t="n">
        <x:v>46269.94236111111</x:v>
      </x:c>
      <x:c r="I134" s="42" t="str">
        <x:v>Does expanding details preserve the fixed editor controls and use an independent ordinary scrolling region?</x:v>
      </x:c>
      <x:c r="J134" s="42" t="str">
        <x:v>Yes in this state. The full identity, actions, and preview remain visible while the accessibility hierarchy exposes a separate lower details scroller.</x:v>
      </x:c>
      <x:c r="K134" s="42" t="str">
        <x:v>Pass</x:v>
      </x:c>
      <x:c r="L134" s="42" t="str">
        <x:v>The window is inactive in this capture, so the Apply control does not show its focused blue fill. The file is JPEG encoded despite its .png name.</x:v>
      </x:c>
    </x:row>
    <x:row r="135">
      <x:c r="A135" s="42" t="str">
        <x:v>EV-DETAILS-INDEPENDENT-SCROLLED-001</x:v>
      </x:c>
      <x:c r="B135" s="42" t="str">
        <x:v>Screenshot and interaction observation</x:v>
      </x:c>
      <x:c r="C135" s="42" t="str">
        <x:v>PRF-023, MEN-005, UX-001, UX-003</x:v>
      </x:c>
      <x:c r="D135" s="42" t="str">
        <x:v>TR-DETAILS-INDEPENDENT-SCROLL-GREEN-001</x:v>
      </x:c>
      <x:c r="E135" s="42" t="str">
        <x:v>live dark demo after the details-scroll boundary correction, 2026-09-04</x:v>
      </x:c>
      <x:c r="F135" s="42" t="str">
        <x:v>artifacts/ui/sidebar-free/details-independent-scrolled-after.png</x:v>
      </x:c>
      <x:c r="G135" s="42" t="str">
        <x:v>Focused minimum-size editor after scrolling only the lower details region to Notes.</x:v>
      </x:c>
      <x:c r="H135" s="52" t="n">
        <x:v>46269.94236111111</x:v>
      </x:c>
      <x:c r="I135" s="42" t="str">
        <x:v>Does lower-region scrolling keep the native fixed chrome stable and readable?</x:v>
      </x:c>
      <x:c r="J135" s="42" t="str">
        <x:v>Yes. Notes enters the lower viewport while the full profile title, Apply and Edit controls, and ordered preview stay fixed at the same coordinates.</x:v>
      </x:c>
      <x:c r="K135" s="42" t="str">
        <x:v>Pass</x:v>
      </x:c>
      <x:c r="L135" s="42" t="str">
        <x:v>The focused state also retains the light Apply foreground and complete picker chevrons. No motion-timing or VoiceOver-speech claim is made.</x:v>
      </x:c>
    </x:row>
    <x:row r="136">
      <x:c r="A136" s="42" t="str">
        <x:v>EV-APP-HOSTED-FINAL-001</x:v>
      </x:c>
      <x:c r="B136" s="42" t="str">
        <x:v>XCTest result bundle and parsed summary</x:v>
      </x:c>
      <x:c r="C136" s="42" t="str">
        <x:v>PRF-004, PRF-009, PRF-010, PRF-018, PRF-024, PRF-025, PRF-026, PRF-030, PRF-031, PRF-032, PRF-033, MEN-001, MEN-002, FOC-003, XFR-001, XFR-003, XFR-005, XFR-006, REL-001, REL-002, REL-006, REL-008, SET-004, BRD-001</x:v>
      </x:c>
      <x:c r="D136" s="42" t="str">
        <x:v>TR-APP-HOSTED-FINAL-001</x:v>
      </x:c>
      <x:c r="E136" s="42" t="str">
        <x:v>final hosted app regression build, 2026-09-04</x:v>
      </x:c>
      <x:c r="F136" s="42" t="str">
        <x:v>artifacts/test-results/DockitAppTests-final.xcresult; artifacts/ledger/final-hosted-regression-summary-20260904.json</x:v>
      </x:c>
      <x:c r="G136" s="42" t="str">
        <x:v>Final integrated hosted model, menu lifecycle, and profile color regression.</x:v>
      </x:c>
      <x:c r="H136" s="52" t="n">
        <x:v>46269.943506944444</x:v>
      </x:c>
      <x:c r="I136" s="42" t="str">
        <x:v>Does the final hosted result prove its isolated model, menu lifecycle, and profile color contracts without being mistaken for live system verification?</x:v>
      </x:c>
      <x:c r="J136" s="42" t="str">
        <x:v>Yes. All 40 concrete executions pass, and the recorded boundary excludes real Dock, live Focus, native panel, motion, and VoiceOver claims.</x:v>
      </x:c>
      <x:c r="K136" s="42" t="str">
        <x:v>Pass</x:v>
      </x:c>
      <x:c r="L136" s="42" t="str">
        <x:v>Root independently parsed the xcresult. Two parameterized tests account for the difference between 37 declared tests and 40 concrete executions.</x:v>
      </x:c>
    </x:row>
    <x:row r="137">
      <x:c r="A137" s="42" t="str">
        <x:v>EV-REFERENCE-CONTINUOUS-SURFACE-001</x:v>
      </x:c>
      <x:c r="B137" s="42" t="str">
        <x:v>Reference comparison</x:v>
      </x:c>
      <x:c r="C137" s="42" t="str">
        <x:v>PRF-023, MEN-005, UX-003, MOT-005</x:v>
      </x:c>
      <x:c r="D137" s="42" t="str">
        <x:v>TR-REFERENCE-CONTINUOUS-SURFACE-AUDIT-001</x:v>
      </x:c>
      <x:c r="E137" s="42" t="str">
        <x:v>final collapsed light editor and immutable source frame 0, 2026-09-04</x:v>
      </x:c>
      <x:c r="F137" s="42" t="str">
        <x:v>artifacts/video-reference/frames/frame-000000.png; artifacts/ui/sidebar-free/editor-light-default-final.png</x:v>
      </x:c>
      <x:c r="G137" s="42" t="str">
        <x:v>Traffic-light and titlebar boundary comparison between the reference and current light editor.</x:v>
      </x:c>
      <x:c r="H137" s="52" t="n">
        <x:v>46269.94513888889</x:v>
      </x:c>
      <x:c r="I137" s="42" t="str">
        <x:v>Does the current titlebar and editor surface match the reference's continuous treatment below the traffic lights?</x:v>
      </x:c>
      <x:c r="J137" s="42" t="str">
        <x:v>No. A horizontal native separator remains visible in the current editor and has no counterpart in the reference.</x:v>
      </x:c>
      <x:c r="K137" s="42" t="str">
        <x:v>Fail</x:v>
      </x:c>
      <x:c r="L137" s="42" t="str">
        <x:v>The comparison is limited to the separator. It does not settle whole-window tint, motion, keyboard, or accessibility behavior.</x:v>
      </x:c>
    </x:row>
    <x:row r="138">
      <x:c r="A138" s="42" t="str">
        <x:v>EV-TITLEBAR-CONTINUOUS-LIGHT-001</x:v>
      </x:c>
      <x:c r="B138" s="42" t="str">
        <x:v>Screenshot set</x:v>
      </x:c>
      <x:c r="C138" s="42" t="str">
        <x:v>PRF-023, MEN-005, UX-003, MOT-005</x:v>
      </x:c>
      <x:c r="D138" s="42" t="str">
        <x:v>TR-TITLEBAR-CONTINUOUS-SURFACE-GREEN-001</x:v>
      </x:c>
      <x:c r="E138" s="42" t="str">
        <x:v>integrated signed build with hidden window-toolbar background, 2026-09-04</x:v>
      </x:c>
      <x:c r="F138" s="42" t="str">
        <x:v>artifacts/ui/sidebar-free/titlebar-continuous-light-default.png; artifacts/ui/sidebar-free/titlebar-continuous-light-minimum.png</x:v>
      </x:c>
      <x:c r="G138" s="42" t="str">
        <x:v>Focused light editor at default and minimum widths after the titlebar separator correction.</x:v>
      </x:c>
      <x:c r="H138" s="52" t="n">
        <x:v>46269.95</x:v>
      </x:c>
      <x:c r="I138" s="42" t="str">
        <x:v>Does the light editor now match the reference's continuous surface without losing its native controls or full profile name?</x:v>
      </x:c>
      <x:c r="J138" s="42" t="str">
        <x:v>Yes in both inspected light states. No divider is visible, the paired chevrons and 32-grapheme name remain complete, and the controls adapt at minimum width.</x:v>
      </x:c>
      <x:c r="K138" s="42" t="str">
        <x:v>Pass</x:v>
      </x:c>
      <x:c r="L138" s="42" t="str">
        <x:v>The default capture is 620 by 300 pixels and the minimum capture is 520 by 300 pixels. Both files are JPEG encoded despite their .png names.</x:v>
      </x:c>
    </x:row>
    <x:row r="139">
      <x:c r="A139" s="42" t="str">
        <x:v>EV-TITLEBAR-CONTINUOUS-DARK-001</x:v>
      </x:c>
      <x:c r="B139" s="42" t="str">
        <x:v>Screenshot set</x:v>
      </x:c>
      <x:c r="C139" s="42" t="str">
        <x:v>PRF-023, MEN-005, UX-003, MOT-005</x:v>
      </x:c>
      <x:c r="D139" s="42" t="str">
        <x:v>TR-TITLEBAR-CONTINUOUS-SURFACE-GREEN-001</x:v>
      </x:c>
      <x:c r="E139" s="42" t="str">
        <x:v>integrated signed build with hidden window-toolbar background, 2026-09-04</x:v>
      </x:c>
      <x:c r="F139" s="42" t="str">
        <x:v>artifacts/ui/sidebar-free/titlebar-continuous-dark-default.png; artifacts/ui/sidebar-free/titlebar-continuous-dark-minimum.png</x:v>
      </x:c>
      <x:c r="G139" s="42" t="str">
        <x:v>Focused dark editor at default and minimum widths after the titlebar separator correction.</x:v>
      </x:c>
      <x:c r="H139" s="52" t="n">
        <x:v>46269.95486111111</x:v>
      </x:c>
      <x:c r="I139" s="42" t="str">
        <x:v>Does the dark editor preserve the continuous surface and readable native hierarchy at both tested widths?</x:v>
      </x:c>
      <x:c r="J139" s="42" t="str">
        <x:v>Yes. No divider is visible, the profile name and picker glyph remain complete, and the actions stack without clipping at minimum width.</x:v>
      </x:c>
      <x:c r="K139" s="42" t="str">
        <x:v>Pass</x:v>
      </x:c>
      <x:c r="L139" s="42" t="str">
        <x:v>The default capture is 620 by 300 pixels and the minimum capture is 520 by 300 pixels. Inactive-window and accessibility appearance variants remain untested.</x:v>
      </x:c>
    </x:row>
    <x:row r="140">
      <x:c r="A140" s="42" t="str">
        <x:v>EV-TITLEBAR-CONTINUOUS-BUILD-001</x:v>
      </x:c>
      <x:c r="B140" s="42" t="str">
        <x:v>Build log</x:v>
      </x:c>
      <x:c r="C140" s="42" t="str">
        <x:v>PRF-023, MEN-005, UX-003</x:v>
      </x:c>
      <x:c r="D140" s="42" t="str">
        <x:v>TR-TITLEBAR-CONTINUOUS-SURFACE-GREEN-001</x:v>
      </x:c>
      <x:c r="E140" s="42" t="str">
        <x:v>integrated signed build with hidden window-toolbar background, 2026-09-04</x:v>
      </x:c>
      <x:c r="F140" s="42" t="str">
        <x:v>artifacts/titlebar-separator-build.log</x:v>
      </x:c>
      <x:c r="G140" s="42" t="str">
        <x:v>Integrated app build after the native titlebar background visibility change.</x:v>
      </x:c>
      <x:c r="H140" s="52" t="n">
        <x:v>46269.94861111111</x:v>
      </x:c>
      <x:c r="I140" s="42" t="str">
        <x:v>Did the app build successfully after the titlebar surface correction?</x:v>
      </x:c>
      <x:c r="J140" s="42" t="str">
        <x:v>Yes. The integrated signed development build passed.</x:v>
      </x:c>
      <x:c r="K140" s="42" t="str">
        <x:v>Pass</x:v>
      </x:c>
      <x:c r="L140" s="42" t="str">
        <x:v>A passing build does not replace UI, accessibility, motion, real Dock, or live Focus verification. No new hosted test suite followed this modifier.</x:v>
      </x:c>
    </x:row>
    <x:row r="141">
      <x:c r="A141" s="42" t="str">
        <x:v>EV-REFERENCE-FRAMES-000001-000005-001</x:v>
      </x:c>
      <x:c r="B141" s="42" t="str">
        <x:v>Frame annotations, coverage, current capture, and tool test log</x:v>
      </x:c>
      <x:c r="C141" s="42" t="str">
        <x:v>MOT-005</x:v>
      </x:c>
      <x:c r="D141" s="42" t="str">
        <x:v>TR-REFERENCE-FRAMES-000001-000005-001</x:v>
      </x:c>
      <x:c r="E141" s="42" t="str">
        <x:v>reference video frames 1 through 5 comparison, 2026-09-04</x:v>
      </x:c>
      <x:c r="F141" s="42" t="str">
        <x:v>artifacts/ledger/reference-video-frames0-5-summary-20260904.json; artifacts/video-reference/annotations.json; artifacts/video-reference/coverage.json; artifacts/video-reference/work-current-after-separator.png; artifacts/ledger/reference-video-tests-20260904.log</x:v>
      </x:c>
      <x:c r="G141" s="42" t="str">
        <x:v>Formal comparison checkpoint after direct review of source frames 0 through 5.</x:v>
      </x:c>
      <x:c r="H141" s="52" t="n">
        <x:v>46269.96099537037</x:v>
      </x:c>
      <x:c r="I141" s="42" t="str">
        <x:v>Does this move dockit closer to a native, obvious, zero-truncation profile switcher and complete the full reference comparison?</x:v>
      </x:c>
      <x:c r="J141" s="42" t="str">
        <x:v>It advances the evidence by five frames and preserves honest structural differences. It does not complete the comparison: 2,368 frames remain, the fixtures and appearances differ, and motion is unverified.</x:v>
      </x:c>
      <x:c r="K141" s="42" t="str">
        <x:v>Fail</x:v>
      </x:c>
      <x:c r="L141" s="42" t="str">
        <x:v>The immutable summary retains the source, manifest, annotations, coverage, and current-capture hashes. The live coverage file remains intentionally incomplete.</x:v>
      </x:c>
    </x:row>
    <x:row r="142">
      <x:c r="A142" s="42" t="str">
        <x:v>EV-APP-HOSTED-POST-SEPARATOR-001</x:v>
      </x:c>
      <x:c r="B142" s="42" t="str">
        <x:v>XCTest result bundle, log, and parsed summary</x:v>
      </x:c>
      <x:c r="C142" s="42" t="str">
        <x:v>PRF-004, PRF-009, PRF-010, PRF-018, PRF-024, PRF-025, PRF-026, PRF-030, PRF-031, PRF-032, PRF-033, MEN-001, MEN-002, FOC-003, XFR-001, XFR-003, XFR-005, XFR-006, REL-001, REL-002, REL-006, REL-008, SET-004, BRD-001</x:v>
      </x:c>
      <x:c r="D142" s="42" t="str">
        <x:v>TR-APP-HOSTED-POST-SEPARATOR-001</x:v>
      </x:c>
      <x:c r="E142" s="42" t="str">
        <x:v>hosted app regression after titlebar surface correction, 2026-09-04</x:v>
      </x:c>
      <x:c r="F142" s="42" t="str">
        <x:v>artifacts/test-results/DockitAppTests-titlebar-retest.xcresult; artifacts/titlebar-hosted-tests-retest.log; artifacts/ledger/titlebar-hosted-regression-summary-20260904.json</x:v>
      </x:c>
      <x:c r="G142" s="42" t="str">
        <x:v>Full hosted regression after the one-line editor toolbar background modifier.</x:v>
      </x:c>
      <x:c r="H142" s="52" t="n">
        <x:v>46269.95900462963</x:v>
      </x:c>
      <x:c r="I142" s="42" t="str">
        <x:v>Did the hosted contracts remain green after the titlebar surface correction without being mistaken for live system or visual proof?</x:v>
      </x:c>
      <x:c r="J142" s="42" t="str">
        <x:v>Yes. All 40 concrete executions pass with no failures or skips. The record excludes real Dock, live Focus, native panel pointer routing, motion, VoiceOver, and accessibility appearance claims.</x:v>
      </x:c>
      <x:c r="K142" s="42" t="str">
        <x:v>Pass</x:v>
      </x:c>
      <x:c r="L142" s="42" t="str">
        <x:v>Root parsed the xcresult directly. The result-bundle staging Icon carriage-return warning did not fail the test run and is not a functional defect.</x:v>
      </x:c>
    </x:row>
    <x:row r="143">
      <x:c r="A143" s="42" t="str">
        <x:v>EV-IMPORT-LIGHT-RETEST-001</x:v>
      </x:c>
      <x:c r="B143" s="42" t="str">
        <x:v>Native light screenshot sequence and fixture</x:v>
      </x:c>
      <x:c r="C143" s="42" t="str">
        <x:v>SET-004, XFR-003, XFR-005, XFR-006, UX-001</x:v>
      </x:c>
      <x:c r="D143" s="42" t="str">
        <x:v>TR-IMPORT-LIGHT-RETEST-001</x:v>
      </x:c>
      <x:c r="E143" s="42" t="str">
        <x:v>native light import retest, 2026-09-04</x:v>
      </x:c>
      <x:c r="F143" s="42" t="str">
        <x:v>artifacts/ui/sidebar-free/import-light-retest-preview.png; artifacts/ui/sidebar-free/import-light-retest-complete.png; artifacts/ui/sidebar-free/import-light-retest-editor.png; artifacts/ui/sidebar-free/sidebar-free-roundtrip-after-fix.dockit; artifacts/ledger/import-light-missing-review-summary-20260904.json</x:v>
      </x:c>
      <x:c r="G143" s="42" t="str">
        <x:v>Native import with one name collision and one unavailable app, followed through preview, completion, and editor states.</x:v>
      </x:c>
      <x:c r="H143" s="52" t="n">
        <x:v>46269.9678125</x:v>
      </x:c>
      <x:c r="I143" s="42" t="str">
        <x:v>Does this move dockit closer to a native, obvious, zero-truncation profile switcher?</x:v>
      </x:c>
      <x:c r="J143" s="42" t="str">
        <x:v>Yes for the tested light import path. The renamed copy, unavailable state, filename, path, completion feedback, and inactive appended profile are clear, and the old empty import rows are gone.</x:v>
      </x:c>
      <x:c r="K143" s="42" t="str">
        <x:v>Pass</x:v>
      </x:c>
      <x:c r="L143" s="42" t="str">
        <x:v>The screenshot set is bounded to light appearance and pointer-driven import. It does not prove real Dock application or accessibility behavior.</x:v>
      </x:c>
    </x:row>
    <x:row r="144">
      <x:c r="A144" s="42" t="str">
        <x:v>EV-MISSING-APPS-LIGHT-EMPTY-ROWS-001</x:v>
      </x:c>
      <x:c r="B144" s="42" t="str">
        <x:v>Native light screenshot</x:v>
      </x:c>
      <x:c r="C144" s="42" t="str">
        <x:v>XFR-006, MEN-005, UX-003</x:v>
      </x:c>
      <x:c r="D144" s="42" t="str">
        <x:v>TR-MISSING-APPS-LIGHT-REVIEW-RED-001</x:v>
      </x:c>
      <x:c r="E144" s="42" t="str">
        <x:v>native light unavailable-app review before source fix, 2026-09-04</x:v>
      </x:c>
      <x:c r="F144" s="42" t="str">
        <x:v>artifacts/ui/sidebar-free/missing-light-retest-review.png; artifacts/ledger/import-light-missing-review-summary-20260904.json</x:v>
      </x:c>
      <x:c r="G144" s="42" t="str">
        <x:v>Unavailable-app recovery review containing one real row.</x:v>
      </x:c>
      <x:c r="H144" s="52" t="n">
        <x:v>46269.96894675926</x:v>
      </x:c>
      <x:c r="I144" s="42" t="str">
        <x:v>Does the recovery view present only real unavailable entries without misleading empty content?</x:v>
      </x:c>
      <x:c r="J144" s="42" t="str">
        <x:v>No. Three empty gray alternating stripes appear beneath the single unavailable entry and read as missing rows.</x:v>
      </x:c>
      <x:c r="K144" s="42" t="str">
        <x:v>Fail</x:v>
      </x:c>
      <x:c r="L144" s="42" t="str">
        <x:v>The failure is visual. Cancel, skip, keyboard, and VoiceOver behavior remain untested in this run.</x:v>
      </x:c>
    </x:row>
    <x:row r="145">
      <x:c r="A145" s="42" t="str">
        <x:v>EV-REFERENCE-FRAMES-000006-000029-001</x:v>
      </x:c>
      <x:c r="B145" s="42" t="str">
        <x:v>Frame review batch, merged annotations, coverage, and current comparison</x:v>
      </x:c>
      <x:c r="C145" s="42" t="str">
        <x:v>MOT-005, PRF-023, PRF-028, MEN-005, UX-003</x:v>
      </x:c>
      <x:c r="D145" s="42" t="str">
        <x:v>TR-REFERENCE-FRAMES-000006-000029-001</x:v>
      </x:c>
      <x:c r="E145" s="42" t="str">
        <x:v>reference video frames 6 through 29 comparison, 2026-09-04</x:v>
      </x:c>
      <x:c r="F145" s="42" t="str">
        <x:v>artifacts/video-reference/reviews/frames-000006-000029.json; artifacts/video-reference/annotations.json; artifacts/video-reference/coverage.json; artifacts/video-reference/frames/frame-000006.png; artifacts/video-reference/work-current-after-separator.png; artifacts/ledger/video30-missing-recovery-checkpoint-20260904.json</x:v>
      </x:c>
      <x:c r="G145" s="42" t="str">
        <x:v>Formal original-timestamp comparison checkpoint through source frame 29.</x:v>
      </x:c>
      <x:c r="H145" s="52" t="n">
        <x:v>46269.97190972222</x:v>
      </x:c>
      <x:c r="I145" s="42" t="str">
        <x:v>Does this complete the supplied reference comparison or prove the spacer kind and motion behavior?</x:v>
      </x:c>
      <x:c r="J145" s="42" t="str">
        <x:v>No. It advances formal coverage to 30 of 2,374 and confirms the picker geometry mismatch. The remaining 2,344 frames, motion, and source spacer-kind mapping are still open.</x:v>
      </x:c>
      <x:c r="K145" s="42" t="str">
        <x:v>Fail</x:v>
      </x:c>
      <x:c r="L145" s="42" t="str">
        <x:v>The source hash is unchanged. Strict incomplete coverage correctly exits 1. No regular-spacer width defect is claimed from this batch.</x:v>
      </x:c>
    </x:row>
    <x:row r="146">
      <x:c r="A146" s="42" t="str">
        <x:v>EV-MISSING-APPS-EMPTY-ROWS-GREEN-001</x:v>
      </x:c>
      <x:c r="B146" s="42" t="str">
        <x:v>Before and after screenshots with integrated build log</x:v>
      </x:c>
      <x:c r="C146" s="42" t="str">
        <x:v>XFR-006, MEN-005, UX-003</x:v>
      </x:c>
      <x:c r="D146" s="42" t="str">
        <x:v>TR-MISSING-APPS-EMPTY-ROWS-GREEN-001</x:v>
      </x:c>
      <x:c r="E146" s="42" t="str">
        <x:v>integrated missing-app list row correction, 2026-09-04</x:v>
      </x:c>
      <x:c r="F146" s="42" t="str">
        <x:v>artifacts/ui/sidebar-free/missing-light-retest-review.png; artifacts/ui/sidebar-free/missing-light-after-empty-row-fix.png; artifacts/missing-list-integrated-build.log; artifacts/ledger/video30-missing-recovery-checkpoint-20260904.json</x:v>
      </x:c>
      <x:c r="G146" s="42" t="str">
        <x:v>Same one-item unavailable-app review before and after disabling alternating list backgrounds.</x:v>
      </x:c>
      <x:c r="H146" s="52" t="n">
        <x:v>46269.9725</x:v>
      </x:c>
      <x:c r="I146" s="42" t="str">
        <x:v>Does the light recovery list now show only meaningful content without implying missing rows?</x:v>
      </x:c>
      <x:c r="J146" s="42" t="str">
        <x:v>Yes. The one real unavailable app remains clear and the three empty gray stripes are gone.</x:v>
      </x:c>
      <x:c r="K146" s="42" t="str">
        <x:v>Pass</x:v>
      </x:c>
      <x:c r="L146" s="42" t="str">
        <x:v>The screenshot proves the bounded light appearance only. Dark and accessibility states remain open.</x:v>
      </x:c>
    </x:row>
    <x:row r="147">
      <x:c r="A147" s="42" t="str">
        <x:v>EV-MISSING-APPS-CANCEL-LIGHT-001</x:v>
      </x:c>
      <x:c r="B147" s="42" t="str">
        <x:v>Native light cancellation screenshot</x:v>
      </x:c>
      <x:c r="C147" s="42" t="str">
        <x:v>XFR-006</x:v>
      </x:c>
      <x:c r="D147" s="42" t="str">
        <x:v>TR-MISSING-APPS-CANCEL-LIGHT-001</x:v>
      </x:c>
      <x:c r="E147" s="42" t="str">
        <x:v>native light unavailable-app cancel retest, 2026-09-04</x:v>
      </x:c>
      <x:c r="F147" s="42" t="str">
        <x:v>artifacts/ui/sidebar-free/missing-light-retest-cancel.png; artifacts/ledger/video30-missing-recovery-checkpoint-20260904.json</x:v>
      </x:c>
      <x:c r="G147" s="42" t="str">
        <x:v>Canceling unavailable-app review while an imported profile is selected and work is active.</x:v>
      </x:c>
      <x:c r="H147" s="52" t="n">
        <x:v>46269.96960648148</x:v>
      </x:c>
      <x:c r="I147" s="42" t="str">
        <x:v>Does cancel leave the active Dock choice unchanged and explain the result clearly?</x:v>
      </x:c>
      <x:c r="J147" s="42" t="str">
        <x:v>Yes in the tested light state. Work stays active, the imported profile stays inactive, and the message says the Dock is unchanged.</x:v>
      </x:c>
      <x:c r="K147" s="42" t="str">
        <x:v>Pass</x:v>
      </x:c>
      <x:c r="L147" s="42" t="str">
        <x:v>Skip and apply, keyboard, VoiceOver, and dark appearance remain open.</x:v>
      </x:c>
    </x:row>
    <x:row r="148">
      <x:c r="A148" s="42" t="str">
        <x:v>EV-MISSING-APPS-RESIZE-RED-001</x:v>
      </x:c>
      <x:c r="B148" s="42" t="str">
        <x:v>Native light resize screenshot pair</x:v>
      </x:c>
      <x:c r="C148" s="42" t="str">
        <x:v>XFR-006, MEN-005, UX-003</x:v>
      </x:c>
      <x:c r="D148" s="42" t="str">
        <x:v>TR-MISSING-APPS-RESIZE-RED-001</x:v>
      </x:c>
      <x:c r="E148" s="42" t="str">
        <x:v>native light recovery resize audit before source fix, 2026-09-04</x:v>
      </x:c>
      <x:c r="F148" s="42" t="str">
        <x:v>artifacts/ui/sidebar-free/missing-light-expanded-after-fix.png; artifacts/ui/sidebar-free/missing-light-resize-edge-check.png; artifacts/ledger/video30-missing-recovery-checkpoint-20260904.json</x:v>
      </x:c>
      <x:c r="G148" s="42" t="str">
        <x:v>Approved resizable unavailable-app recovery sheet after corner and right-edge drag attempts.</x:v>
      </x:c>
      <x:c r="H148" s="52" t="n">
        <x:v>46269.97331018518</x:v>
      </x:c>
      <x:c r="I148" s="42" t="str">
        <x:v>Can the user resize the recovery sheet through its visible corner or right edge?</x:v>
      </x:c>
      <x:c r="J148" s="42" t="str">
        <x:v>No. Both captures remain 540 by 420 pixels after the drag attempts.</x:v>
      </x:c>
      <x:c r="K148" s="42" t="str">
        <x:v>Fail</x:v>
      </x:c>
      <x:c r="L148" s="42" t="str">
        <x:v>The cause is under source diagnosis. The evidence does not attribute the failure to macOS.</x:v>
      </x:c>
    </x:row>
    <x:row r="149">
      <x:c r="A149" s="42" t="str">
        <x:v>EV-CORE-NATIVE-RECOVERY-001</x:v>
      </x:c>
      <x:c r="B149" s="42" t="str">
        <x:v>Complete SwiftPM test log</x:v>
      </x:c>
      <x:c r="C149" s="42" t="str">
        <x:v>PRV-001, PRF-006, PRF-008, PRF-020, PRF-022, PRF-024, PRF-025, PRF-029, PRF-031, PRF-032, PRF-033, PRF-034, FOC-003, FOC-004, FOC-005, XFR-003, XFR-004, XFR-005, XFR-006, REL-001, REL-002, REL-006, REL-007, REL-008, MOT-004, MOT-005</x:v>
      </x:c>
      <x:c r="D149" s="42" t="str">
        <x:v>TR-CORE-NATIVE-RECOVERY-001</x:v>
      </x:c>
      <x:c r="E149" s="42" t="str">
        <x:v>complete core regression after import collision coverage, 2026-09-04</x:v>
      </x:c>
      <x:c r="F149" s="42" t="str">
        <x:v>artifacts/import-collision-core-retest.log; artifacts/ledger/native-recovery-final-summary-20260904.json</x:v>
      </x:c>
      <x:c r="G149" s="42" t="str">
        <x:v>Complete isolated core regression after the import collision fixture was added.</x:v>
      </x:c>
      <x:c r="H149" s="52" t="n">
        <x:v>46269.97688657408</x:v>
      </x:c>
      <x:c r="I149" s="42" t="str">
        <x:v>Did the complete core suite pass, and were its warnings retained honestly?</x:v>
      </x:c>
      <x:c r="J149" s="42" t="str">
        <x:v>Yes. All 84 checks passed. The unhandled ReferenceVideo tool-file warning is preserved and tracked as DEF-070.</x:v>
      </x:c>
      <x:c r="K149" s="42" t="str">
        <x:v>Pass</x:v>
      </x:c>
      <x:c r="L149" s="42" t="str">
        <x:v>Automated core evidence only. The warning does not change the zero-failure result, but it still requires a package-hygiene fix.</x:v>
      </x:c>
    </x:row>
    <x:row r="150">
      <x:c r="A150" s="42" t="str">
        <x:v>EV-MISSING-APPS-FITTED-GREEN-001</x:v>
      </x:c>
      <x:c r="B150" s="42" t="str">
        <x:v>Light and dark resize screenshots, cancel result, and build log</x:v>
      </x:c>
      <x:c r="C150" s="42" t="str">
        <x:v>XFR-006, MEN-005, UX-003</x:v>
      </x:c>
      <x:c r="D150" s="42" t="str">
        <x:v>TR-MISSING-APPS-FITTED-GREEN-001</x:v>
      </x:c>
      <x:c r="E150" s="42" t="str">
        <x:v>native fitted recovery sheet, 2026-09-04</x:v>
      </x:c>
      <x:c r="F150" s="42" t="str">
        <x:v>artifacts/ui/sidebar-free/missing-fitted-light-initial.png; artifacts/ui/sidebar-free/missing-fitted-light-minimum.png; artifacts/ui/sidebar-free/missing-fitted-light-cancel.png; artifacts/ui/sidebar-free/missing-fitted-dark-initial.png; artifacts/ui/sidebar-free/missing-fitted-dark-minimum.png; artifacts/missing-sheet-resize-build.log; artifacts/ledger/native-recovery-final-summary-20260904.json</x:v>
      </x:c>
      <x:c r="G150" s="42" t="str">
        <x:v>Native fitted unavailable-app recovery sheet at ideal and minimum sizes in both appearances.</x:v>
      </x:c>
      <x:c r="H150" s="52" t="n">
        <x:v>46269.978796296295</x:v>
      </x:c>
      <x:c r="I150" s="42" t="str">
        <x:v>Does the recovery sheet now resize natively while keeping all content clear and reachable?</x:v>
      </x:c>
      <x:c r="J150" s="42" t="str">
        <x:v>Yes in the tested light and dark states. Native corner drag reaches the intended minimum, every action remains visible, and the empty stripes stay gone.</x:v>
      </x:c>
      <x:c r="K150" s="42" t="str">
        <x:v>Pass</x:v>
      </x:c>
      <x:c r="L150" s="42" t="str">
        <x:v>Escape cancellation also preserves Work as active. Accessibility appearance and VoiceOver checks remain open.</x:v>
      </x:c>
    </x:row>
    <x:row r="151">
      <x:c r="A151" s="42" t="str">
        <x:v>EV-MISSING-APPS-REPLACEMENT-DARK-001</x:v>
      </x:c>
      <x:c r="B151" s="42" t="str">
        <x:v>Native chooser and dark replacement screenshot sequence</x:v>
      </x:c>
      <x:c r="C151" s="42" t="str">
        <x:v>XFR-006</x:v>
      </x:c>
      <x:c r="D151" s="42" t="str">
        <x:v>TR-MISSING-APPS-REPLACEMENT-DARK-001</x:v>
      </x:c>
      <x:c r="E151" s="42" t="str">
        <x:v>native dark unavailable-app replacement flow, 2026-09-04</x:v>
      </x:c>
      <x:c r="F151" s="42" t="str">
        <x:v>artifacts/ui/sidebar-free/replacement-books-ready.png; artifacts/ui/sidebar-free/replacement-books-confirmed-dark.png; artifacts/ui/sidebar-free/replacement-books-applied-dark.png; artifacts/ledger/native-recovery-final-summary-20260904.json</x:v>
      </x:c>
      <x:c r="G151" s="42" t="str">
        <x:v>Replacing one unavailable saved app with Books, then applying the in-memory demo layout.</x:v>
      </x:c>
      <x:c r="H151" s="52" t="n">
        <x:v>46269.983449074076</x:v>
      </x:c>
      <x:c r="I151" s="42" t="str">
        <x:v>Does the visible replacement flow preserve order and reach a clear apply result?</x:v>
      </x:c>
      <x:c r="J151" s="42" t="str">
        <x:v>Yes in the dark demo. Books replaces the missing entry at position one, Notes remains second, and the profile becomes current after apply.</x:v>
      </x:c>
      <x:c r="K151" s="42" t="str">
        <x:v>Pass</x:v>
      </x:c>
      <x:c r="L151" s="42" t="str">
        <x:v>The screenshots do not prove disk persistence or a real Dock mutation.</x:v>
      </x:c>
    </x:row>
    <x:row r="152">
      <x:c r="A152" s="42" t="str">
        <x:v>EV-MISSING-APPS-SKIP-DEMO-LIGHT-001</x:v>
      </x:c>
      <x:c r="B152" s="42" t="str">
        <x:v>Light demo screenshot</x:v>
      </x:c>
      <x:c r="C152" s="42" t="str">
        <x:v>XFR-006</x:v>
      </x:c>
      <x:c r="D152" s="42" t="str">
        <x:v>TR-MISSING-APPS-SKIP-DEMO-LIGHT-001</x:v>
      </x:c>
      <x:c r="E152" s="42" t="str">
        <x:v>light demo skip-and-apply retention check, 2026-09-04</x:v>
      </x:c>
      <x:c r="F152" s="42" t="str">
        <x:v>artifacts/ui/sidebar-free/missing-light-skip-apply-after-fix.png; artifacts/ledger/native-recovery-final-summary-20260904.json</x:v>
      </x:c>
      <x:c r="G152" s="42" t="str">
        <x:v>Skip and apply with one unavailable saved entry in the in-memory demo library.</x:v>
      </x:c>
      <x:c r="H152" s="52" t="n">
        <x:v>46269.97361111111</x:v>
      </x:c>
      <x:c r="I152" s="42" t="str">
        <x:v>Does the demo retain the unavailable saved entry when skip and apply makes the profile current?</x:v>
      </x:c>
      <x:c r="J152" s="42" t="str">
        <x:v>Yes. The current profile still shows both items and the unavailable entry remains first.</x:v>
      </x:c>
      <x:c r="K152" s="42" t="str">
        <x:v>Pass</x:v>
      </x:c>
      <x:c r="L152" s="42" t="str">
        <x:v>The generic demo activation message is intentional and does not verify the production skipped-entry report.</x:v>
      </x:c>
    </x:row>
    <x:row r="153">
      <x:c r="A153" s="42" t="str">
        <x:v>EV-APP-HOSTED-NATIVE-RECOVERY-001</x:v>
      </x:c>
      <x:c r="B153" s="42" t="str">
        <x:v>XCTest result bundle, log, and parsed summary</x:v>
      </x:c>
      <x:c r="C153" s="42" t="str">
        <x:v>PRF-004, PRF-009, PRF-010, PRF-018, PRF-024, PRF-025, PRF-026, PRF-030, PRF-031, PRF-032, PRF-033, MEN-001, MEN-002, FOC-003, XFR-001, XFR-003, XFR-005, XFR-006, REL-001, REL-002, REL-006, REL-008, SET-004, BRD-001</x:v>
      </x:c>
      <x:c r="D153" s="42" t="str">
        <x:v>TR-APP-HOSTED-NATIVE-RECOVERY-001</x:v>
      </x:c>
      <x:c r="E153" s="42" t="str">
        <x:v>hosted app regression after native recovery sheet changes, 2026-09-04</x:v>
      </x:c>
      <x:c r="F153" s="42" t="str">
        <x:v>artifacts/native-recovery-hosted-tests.log; artifacts/test-results/DockitAppTests-native-recovery-retest.xcresult; artifacts/ledger/native-recovery-final-summary-20260904.json</x:v>
      </x:c>
      <x:c r="G153" s="42" t="str">
        <x:v>Complete hosted regression after the native recovery list and presentation changes.</x:v>
      </x:c>
      <x:c r="H153" s="52" t="n">
        <x:v>46269.98428240741</x:v>
      </x:c>
      <x:c r="I153" s="42" t="str">
        <x:v>Did the hosted contracts remain green after the recovery UI source changes?</x:v>
      </x:c>
      <x:c r="J153" s="42" t="str">
        <x:v>Yes. All 40 concrete executions pass with no failures or skips, within the isolated hosted scope.</x:v>
      </x:c>
      <x:c r="K153" s="42" t="str">
        <x:v>Pass</x:v>
      </x:c>
      <x:c r="L153" s="42" t="str">
        <x:v>Root parsed the result bundle directly. Live system and accessibility gates remain separate.</x:v>
      </x:c>
    </x:row>
    <x:row r="154">
      <x:c r="A154" s="42" t="str">
        <x:v>EV-PICKER-GEOMETRY-PROBE-RED-001</x:v>
      </x:c>
      <x:c r="B154" s="42" t="str">
        <x:v>Focused dark probe screenshot and direct accessibility observation</x:v>
      </x:c>
      <x:c r="C154" s="42" t="str">
        <x:v>PRF-023, MEN-005, UX-003, MOT-005</x:v>
      </x:c>
      <x:c r="D154" s="42" t="str">
        <x:v>TR-PICKER-GEOMETRY-PROBE-RED-001</x:v>
      </x:c>
      <x:c r="E154" s="42" t="str">
        <x:v>first picker geometry source probe, 2026-09-04</x:v>
      </x:c>
      <x:c r="F154" s="42" t="str">
        <x:v>artifacts/ui/sidebar-free/picker-work-dark-focused-probe.png</x:v>
      </x:c>
      <x:c r="G154" s="42" t="str">
        <x:v>First source probe for the confirmed picker width and right-alignment mismatch.</x:v>
      </x:c>
      <x:c r="H154" s="52" t="n">
        <x:v>46269.98753472222</x:v>
      </x:c>
      <x:c r="I154" s="42" t="str">
        <x:v>Did the first picker probe correct the reference geometry without losing the paired chevrons or accessible control identity?</x:v>
      </x:c>
      <x:c r="J154" s="42" t="str">
        <x:v>No. The 620 by 300 pixel focused dark capture shows unchanged narrow geometry and no visible paired chevrons. Accessibility retained only the menu label work.</x:v>
      </x:c>
      <x:c r="K154" s="42" t="str">
        <x:v>Fail</x:v>
      </x:c>
      <x:c r="L154" s="42" t="str">
        <x:v>Screenshot SHA-256 is 3b43b0b2aef89a07af8811adc2ba34ee59fdb649cbc3c9a29b449fbdd7e07961. The probe is rejected and does not advance the 30 of 2,374 reference-frame review.</x:v>
      </x:c>
    </x:row>
    <x:row r="155">
      <x:c r="A155" s="42" t="str">
        <x:v>EV-CORE-PACKAGE-EXCLUSION-GREEN-001</x:v>
      </x:c>
      <x:c r="B155" s="42" t="str">
        <x:v>Complete SwiftPM test and clean warning scan log</x:v>
      </x:c>
      <x:c r="C155" s="42" t="str">
        <x:v>MOT-005</x:v>
      </x:c>
      <x:c r="D155" s="42" t="str">
        <x:v>TR-CORE-PACKAGE-EXCLUSION-GREEN-001</x:v>
      </x:c>
      <x:c r="E155" s="42" t="str">
        <x:v>ReferenceVideo package exclusion correction, 2026-09-04</x:v>
      </x:c>
      <x:c r="F155" s="42" t="str">
        <x:v>artifacts/package-exclusion-core-retest.log; Package.swift:17</x:v>
      </x:c>
      <x:c r="G155" s="42" t="str">
        <x:v>Complete core regression after both ReferenceVideo tools were added to the DockProbe exclusion list.</x:v>
      </x:c>
      <x:c r="H155" s="52" t="n">
        <x:v>46269.99133101852</x:v>
      </x:c>
      <x:c r="I155" s="42" t="str">
        <x:v>Did the package correction remove the unhandled-file warning without regressing the core suite?</x:v>
      </x:c>
      <x:c r="J155" s="42" t="str">
        <x:v>Yes. All 84 checks pass, and the retained log has no unhandled-file, warning, or error match.</x:v>
      </x:c>
      <x:c r="K155" s="42" t="str">
        <x:v>Pass</x:v>
      </x:c>
      <x:c r="L155" s="42" t="str">
        <x:v>Log SHA-256 is bcc2fdd60041e82fb976ceb279ff94895afa1308e0e918ae802e5c983836c0e1. Product reference comparison and live system gates remain separate.</x:v>
      </x:c>
    </x:row>
    <x:row r="156">
      <x:c r="A156" s="42" t="str">
        <x:v>EV-PICKER-GEOMETRY-WRAPPER-PROBE-RED-001</x:v>
      </x:c>
      <x:c r="B156" s="42" t="str">
        <x:v>Focused dark rejected-probe screenshot</x:v>
      </x:c>
      <x:c r="C156" s="42" t="str">
        <x:v>PRF-023, MEN-005, UX-003, MOT-005</x:v>
      </x:c>
      <x:c r="D156" s="42" t="str">
        <x:v>TR-PICKER-GEOMETRY-WRAPPER-PROBE-RED-001</x:v>
      </x:c>
      <x:c r="E156" s="42" t="str">
        <x:v>SwiftUI picker wrapper geometry probe, 2026-09-04</x:v>
      </x:c>
      <x:c r="F156" s="42" t="str">
        <x:v>artifacts/ui/sidebar-free/picker-work-dark-wrapper-probe.png</x:v>
      </x:c>
      <x:c r="G156" s="42" t="str">
        <x:v>Testing whether a SwiftUI layout wrapper can resize and align the native picker without losing its visible chevrons.</x:v>
      </x:c>
      <x:c r="H156" s="52" t="n">
        <x:v>46269.98929398148</x:v>
      </x:c>
      <x:c r="I156" s="42" t="str">
        <x:v>Did the wrapper probe produce the reference width and shared right edge while retaining native picker affordances?</x:v>
      </x:c>
      <x:c r="J156" s="42" t="str">
        <x:v>No. The 620 by 300 pixel dark capture retains the paired chevrons but leaves the narrow geometry and shared glass right edge unchanged.</x:v>
      </x:c>
      <x:c r="K156" s="42" t="str">
        <x:v>Fail</x:v>
      </x:c>
      <x:c r="L156" s="42" t="str">
        <x:v>Screenshot SHA-256 is 4c2d368445653da688e23a0e64b25f0c93847f6b62aab1a92e175a004b46350c. The rejected probe does not change reference-frame coverage or production source.</x:v>
      </x:c>
    </x:row>
    <x:row r="157">
      <x:c r="A157" s="42" t="str">
        <x:v>EV-PICKER-NATIVE-BACKGROUND-PROBE-RED-001</x:v>
      </x:c>
      <x:c r="B157" s="42" t="str">
        <x:v>Focused dark rejected-probe screenshot</x:v>
      </x:c>
      <x:c r="C157" s="42" t="str">
        <x:v>PRF-023, MEN-005, UX-003, MOT-005</x:v>
      </x:c>
      <x:c r="D157" s="42" t="str">
        <x:v>TR-PICKER-NATIVE-BACKGROUND-PROBE-RED-001</x:v>
      </x:c>
      <x:c r="E157" s="42" t="str">
        <x:v>native picker background geometry probe, 2026-09-04</x:v>
      </x:c>
      <x:c r="F157" s="42" t="str">
        <x:v>artifacts/ui/sidebar-free/picker-research-dark-native-background-probe.png</x:v>
      </x:c>
      <x:c r="G157" s="42" t="str">
        <x:v>Testing the native Menu background after hiding the shared toolbar glass.</x:v>
      </x:c>
      <x:c r="H157" s="52" t="n">
        <x:v>46269.991875</x:v>
      </x:c>
      <x:c r="I157" s="42" t="str">
        <x:v>Did the native-background probe preserve a clear button surface while correcting the reference geometry?</x:v>
      </x:c>
      <x:c r="J157" s="42" t="str">
        <x:v>No. The 620 by 300 pixel dark capture has paired chevrons but no clear button background, so the probe is not accepted.</x:v>
      </x:c>
      <x:c r="K157" s="42" t="str">
        <x:v>Fail</x:v>
      </x:c>
      <x:c r="L157" s="42" t="str">
        <x:v>Screenshot SHA-256 is 0fdfbcb0dcb32582ce4575b9ebd6d187030eb96c42064462c092d7af7d1a2f0f. The rejected probe does not change reference-frame coverage or production source.</x:v>
      </x:c>
    </x:row>
    <x:row r="158">
      <x:c r="A158" s="42" t="str">
        <x:v>EV-REFERENCE-SPACER-INSERTION-AUDIT-001</x:v>
      </x:c>
      <x:c r="B158" s="42" t="str">
        <x:v>Forty-one-frame original-detail audit with independent frame review</x:v>
      </x:c>
      <x:c r="C158" s="42" t="str">
        <x:v>PRF-021, PRF-028, MEN-005, UX-003, MOT-005</x:v>
      </x:c>
      <x:c r="D158" s="42" t="str">
        <x:v>TR-REFERENCE-SPACER-INSERTION-AUDIT-001</x:v>
      </x:c>
      <x:c r="E158" s="42" t="str">
        <x:v>standalone reference spacer insertion audit, 2026-09-04</x:v>
      </x:c>
      <x:c r="F158" s="42" t="str">
        <x:v>artifacts/video-reference/reviews/spacer-insertion-000500-000540.json; artifacts/video-reference/frames/frame-000500.png; artifacts/video-reference/frames/frame-000540.png; artifacts/video-reference/work-current-after-separator.png; Sources/Dockit/ProfileDetailView.swift</x:v>
      </x:c>
      <x:c r="G158" s="42" t="str">
        <x:v>Reference Regular spacer selection, insertion transition, and painted-marker proportion comparison.</x:v>
      </x:c>
      <x:c r="H158" s="52" t="n">
        <x:v>46270.00114583333</x:v>
      </x:c>
      <x:c r="I158" s="42" t="str">
        <x:v>Does the evidence establish that the reference Regular insertion is narrow and that dockit's reviewed square Regular marker has the wrong painted proportion?</x:v>
      </x:c>
      <x:c r="J158" s="42" t="str">
        <x:v>Yes. Regular is the sole highlighted size before one new trailing marker appears. Its frame-540 paint is about 55 by 108 source pixels, while dockit's reviewed Regular paint is 40 by 40 points. The evidence does not establish Small geometry or Dock semantics.</x:v>
      </x:c>
      <x:c r="K158" s="42" t="str">
        <x:v>Fail</x:v>
      </x:c>
      <x:c r="L158" s="42" t="str">
        <x:v>Audit SHA-256 is 7cffc3fa701af03a06161d05cd91e44748e51c33c0ed27270d513f0e300cf4e9. Frame 500 SHA-256 is 481156a0e5cff5bb896dfe3c85dfe6e20d23e14a22b84ba7c01c7b77a79016fa. Frame 540 SHA-256 is 03ef460ea7b63ad3039bde751a84b03d9c3b17c91a3deea1be51135b058b0945. Formal coverage remains unchanged.</x:v>
      </x:c>
    </x:row>
    <x:row r="159">
      <x:c r="A159" s="42" t="str">
        <x:v>EV-PICKER-HOSTED-SWIFTUI-PROBE-RED-001</x:v>
      </x:c>
      <x:c r="B159" s="42" t="str">
        <x:v>Focused dark rejected-probe screenshot with process and source audit</x:v>
      </x:c>
      <x:c r="C159" s="42" t="str">
        <x:v>PRF-023, MEN-005, UX-003, MOT-005</x:v>
      </x:c>
      <x:c r="D159" s="42" t="str">
        <x:v>TR-PICKER-HOSTED-SWIFTUI-PROBE-RED-001</x:v>
      </x:c>
      <x:c r="E159" s="42" t="str">
        <x:v>AppKit-hosted SwiftUI picker probe, 2026-09-04</x:v>
      </x:c>
      <x:c r="F159" s="42" t="str">
        <x:v>artifacts/ui/sidebar-free/picker-host-research-dark-default.png; artifacts/ui/sidebar-free/picker-layout-grounding.md; artifacts/ui/sidebar-free/picker-candidate-hosted.md; artifacts/ui/sidebar-free/picker-candidate-native.md</x:v>
      </x:c>
      <x:c r="G159" s="42" t="str">
        <x:v>Runtime probe of a public AppKit-hosted SwiftUI picker boundary.</x:v>
      </x:c>
      <x:c r="H159" s="52" t="n">
        <x:v>46269.9999537037</x:v>
      </x:c>
      <x:c r="I159" s="42" t="str">
        <x:v>Did the hosted SwiftUI candidate preserve visible native glass and correct the picker geometry?</x:v>
      </x:c>
      <x:c r="J159" s="42" t="str">
        <x:v>No. The 620 by 300 pixel focused dark capture retains the title and chevrons but loses the visible button surface, so the candidate is rejected.</x:v>
      </x:c>
      <x:c r="K159" s="42" t="str">
        <x:v>Fail</x:v>
      </x:c>
      <x:c r="L159" s="42" t="str">
        <x:v>Screenshot SHA-256 is 0fdfbcb0dcb32582ce4575b9ebd6d187030eb96c42064462c092d7af7d1a2f0f. Its pixels match the earlier no-background capture, while the retained audit records the separate hosted execution context.</x:v>
      </x:c>
    </x:row>
    <x:row r="160">
      <x:c r="A160" s="42" t="str">
        <x:v>EV-REFERENCE-FRAMES-000500-000540-MERGE-001</x:v>
      </x:c>
      <x:c r="B160" s="42" t="str">
        <x:v>Canonical annotations, strict coverage result, and ReferenceVideo test log</x:v>
      </x:c>
      <x:c r="C160" s="42" t="str">
        <x:v>PRF-021, PRF-028, MEN-005, UX-003, MOT-005</x:v>
      </x:c>
      <x:c r="D160" s="42" t="str">
        <x:v>TR-REFERENCE-FRAMES-000500-000540-MERGE-001</x:v>
      </x:c>
      <x:c r="E160" s="42" t="str">
        <x:v>formal reference coverage merge through 71 reviewed frames, 2026-09-04</x:v>
      </x:c>
      <x:c r="F160" s="42" t="str">
        <x:v>artifacts/video-reference/annotations.json; artifacts/video-reference/coverage.json; artifacts/video-reference/coverage-check-71.log; artifacts/video-reference/reference-video-tests-71.log; artifacts/video-reference/reviews/spacer-insertion-000500-000540.json</x:v>
      </x:c>
      <x:c r="G160" s="42" t="str">
        <x:v>Formal merge of the individually inspected spacer insertion frames into canonical reference coverage.</x:v>
      </x:c>
      <x:c r="H160" s="52" t="n">
        <x:v>46270.004375</x:v>
      </x:c>
      <x:c r="I160" s="42" t="str">
        <x:v>Were all 41 spacer frames added to formal coverage without turning their static marker finding into an unsupported matched-state or motion claim?</x:v>
      </x:c>
      <x:c r="J160" s="42" t="str">
        <x:v>Yes. Coverage reaches 71 of 2,374, the added frames are explicitly notComparable, the strict gate remains incomplete, and all six tool tests pass.</x:v>
      </x:c>
      <x:c r="K160" s="42" t="str">
        <x:v>Pass</x:v>
      </x:c>
      <x:c r="L160" s="42" t="str">
        <x:v>annotations.json SHA-256 is e63a05acdf850ea1da44e122062a20c941eabf0fe0f196cb51f5923d09fc9d06. coverage.json SHA-256 is 0b9818e5fdddab1b3a34d9b05e1727b8fdc7548eee78ba95bdbe91cd98286db6. The tests log SHA-256 is 3181a7e300281d6070f0c0678be7af72f9c34d3af3f47a71efbe50c9ec9d8fd8.</x:v>
      </x:c>
    </x:row>
    <x:row r="161">
      <x:c r="A161" s="42" t="str">
        <x:v>EV-NATIVE-PICKER-ACTOR-COMPILE-RED-001</x:v>
      </x:c>
      <x:c r="B161" s="42" t="str">
        <x:v>Complete hosted build failure log</x:v>
      </x:c>
      <x:c r="C161" s="42" t="str">
        <x:v>PRF-023, MEN-002, MEN-005, UX-003</x:v>
      </x:c>
      <x:c r="D161" s="42" t="str">
        <x:v>TR-NATIVE-PICKER-ACTOR-COMPILE-RED-001</x:v>
      </x:c>
      <x:c r="E161" s="42" t="str">
        <x:v>initial native AppKit profile picker candidate, 2026-09-04</x:v>
      </x:c>
      <x:c r="F161" s="42" t="str">
        <x:v>artifacts/native-picker-hosted-tests.log; artifacts/test-results/DockitAppTests-native-picker-probe.xcresult</x:v>
      </x:c>
      <x:c r="G161" s="42" t="str">
        <x:v>First hosted compilation of the native profile picker coordinator.</x:v>
      </x:c>
      <x:c r="H161" s="52" t="n">
        <x:v>46270.00650462963</x:v>
      </x:c>
      <x:c r="I161" s="42" t="str">
        <x:v>Did the first native picker candidate compile and reach its tests?</x:v>
      </x:c>
      <x:c r="J161" s="42" t="str">
        <x:v>No. Main actor isolation errors stopped the build before any test execution.</x:v>
      </x:c>
      <x:c r="K161" s="42" t="str">
        <x:v>Fail</x:v>
      </x:c>
      <x:c r="L161" s="42" t="str">
        <x:v>Log SHA-256 is ab6679a5258a5994541127cefc85c1e7bd6984929097d0e4fc2fd103a31dc792. The result summary contains zero executions because compilation failed.</x:v>
      </x:c>
    </x:row>
    <x:row r="162">
      <x:c r="A162" s="42" t="str">
        <x:v>EV-NATIVE-PICKER-WRAP-MEASUREMENT-RED-001</x:v>
      </x:c>
      <x:c r="B162" s="42" t="str">
        <x:v>Hosted red test log</x:v>
      </x:c>
      <x:c r="C162" s="42" t="str">
        <x:v>PRF-003, PRF-029, MEN-005, UX-001, UX-003</x:v>
      </x:c>
      <x:c r="D162" s="42" t="str">
        <x:v>TR-NATIVE-PICKER-WRAP-MEASUREMENT-RED-001</x:v>
      </x:c>
      <x:c r="E162" s="42" t="str">
        <x:v>actor-corrected native picker measurement probe, 2026-09-04</x:v>
      </x:c>
      <x:c r="F162" s="42" t="str">
        <x:v>artifacts/native-picker-hosted-retest.log</x:v>
      </x:c>
      <x:c r="G162" s="42" t="str">
        <x:v>Strict native control measurement for a maximum-length wide-grapheme profile name.</x:v>
      </x:c>
      <x:c r="H162" s="52" t="n">
        <x:v>46270.008055555554</x:v>
      </x:c>
      <x:c r="I162" s="42" t="str">
        <x:v>Did the native cell measure a taller control for a wide 32-grapheme name?</x:v>
      </x:c>
      <x:c r="J162" s="42" t="str">
        <x:v>No. The short and wide names both measured 28 points high, causing one test issue.</x:v>
      </x:c>
      <x:c r="K162" s="42" t="str">
        <x:v>Fail</x:v>
      </x:c>
      <x:c r="L162" s="42" t="str">
        <x:v>Log SHA-256 is 7aaeb163f815227135000fbec4d52848a2c2361f454a6e5d35bbcd9811e480d2.</x:v>
      </x:c>
    </x:row>
    <x:row r="163">
      <x:c r="A163" s="42" t="str">
        <x:v>EV-NATIVE-PICKER-CELL-HOSTED-GREEN-001</x:v>
      </x:c>
      <x:c r="B163" s="42" t="str">
        <x:v>Hosted test log and parsed result bundle</x:v>
      </x:c>
      <x:c r="C163" s="42" t="str">
        <x:v>PRF-003, PRF-004, PRF-009, PRF-023, PRF-029, MEN-002, MEN-005, UX-001, UX-003</x:v>
      </x:c>
      <x:c r="D163" s="42" t="str">
        <x:v>TR-NATIVE-PICKER-CELL-HOSTED-GREEN-001</x:v>
      </x:c>
      <x:c r="E163" s="42" t="str">
        <x:v>native picker cell contract retest, 2026-09-04</x:v>
      </x:c>
      <x:c r="F163" s="42" t="str">
        <x:v>artifacts/native-picker-cell-hosted-retest.log; artifacts/test-results/DockitAppTests-native-picker-cell-retest.xcresult; Sources/Dockit/NativeProfileToolbarPicker.swift; Tests/DockitAppTests/AppModelTests.swift</x:v>
      </x:c>
      <x:c r="G163" s="42" t="str">
        <x:v>Complete hosted regression after native picker actor and wrapping corrections.</x:v>
      </x:c>
      <x:c r="H163" s="52" t="n">
        <x:v>46270.01204861111</x:v>
      </x:c>
      <x:c r="I163" s="42" t="str">
        <x:v>Do the native picker contracts compile and pass after the actor and measurement fixes?</x:v>
      </x:c>
      <x:c r="J163" s="42" t="str">
        <x:v>Yes in the hosted scope. All 41 declared tests and 44 concrete executions pass with no failures or skips.</x:v>
      </x:c>
      <x:c r="K163" s="42" t="str">
        <x:v>Pass</x:v>
      </x:c>
      <x:c r="L163" s="42" t="str">
        <x:v>Log SHA-256 is 0be2cb27c561aa3cfae25cc05b21a20d84804302106f201c78fec499ed03e26b. Native visual and accessibility runtime checks remain separate.</x:v>
      </x:c>
    </x:row>
    <x:row r="164">
      <x:c r="A164" s="42" t="str">
        <x:v>EV-NATIVE-PICKER-BLANK-DISPLAY-RED-001</x:v>
      </x:c>
      <x:c r="B164" s="42" t="str">
        <x:v>Focused dark runtime screenshot</x:v>
      </x:c>
      <x:c r="C164" s="42" t="str">
        <x:v>PRF-003, PRF-004, PRF-023, MEN-005, UX-001, UX-003</x:v>
      </x:c>
      <x:c r="D164" s="42" t="str">
        <x:v>TR-NATIVE-PICKER-BLANK-DISPLAY-RED-001</x:v>
      </x:c>
      <x:c r="E164" s="42" t="str">
        <x:v>first native NSPopUpButton runtime probe, 2026-09-04</x:v>
      </x:c>
      <x:c r="F164" s="42" t="str">
        <x:v>artifacts/ui/sidebar-free/picker-native-popup-work-dark-first.png</x:v>
      </x:c>
      <x:c r="G164" s="42" t="str">
        <x:v>First runtime display of the selected item in the replacement native popup cell.</x:v>
      </x:c>
      <x:c r="H164" s="52" t="n">
        <x:v>46270.01025462963</x:v>
      </x:c>
      <x:c r="I164" s="42" t="str">
        <x:v>Does the native picker visibly show its selected profile title and color swatch?</x:v>
      </x:c>
      <x:c r="J164" s="42" t="str">
        <x:v>No. The 620 by 300 pixel dark capture shows only the arrows in the picker area.</x:v>
      </x:c>
      <x:c r="K164" s="42" t="str">
        <x:v>Fail</x:v>
      </x:c>
      <x:c r="L164" s="42" t="str">
        <x:v>Screenshot SHA-256 is 325f66577330294f8e444dfe48821c5e55fc1e8210e455fe73035bcd6fffd2b6.</x:v>
      </x:c>
    </x:row>
    <x:row r="165">
      <x:c r="A165" s="42" t="str">
        <x:v>EV-NATIVE-PICKER-CELL-LIGHT-RED-001</x:v>
      </x:c>
      <x:c r="B165" s="42" t="str">
        <x:v>Focused light screenshot sequence and direct accessibility interaction</x:v>
      </x:c>
      <x:c r="C165" s="42" t="str">
        <x:v>PRF-003, PRF-004, PRF-009, PRF-023, PRF-029, MEN-002, MEN-004, MEN-005, UX-001, UX-003</x:v>
      </x:c>
      <x:c r="D165" s="42" t="str">
        <x:v>TR-NATIVE-PICKER-CELL-LIGHT-RED-001</x:v>
      </x:c>
      <x:c r="E165" s="42" t="str">
        <x:v>native picker cell light runtime before bezel correction, 2026-09-04</x:v>
      </x:c>
      <x:c r="F165" s="42" t="str">
        <x:v>artifacts/ui/sidebar-free/picker-native-cell-reading-light-focused.png; artifacts/ui/sidebar-free/picker-native-cell-work-light-focused.png; artifacts/ui/sidebar-free/picker-native-cell-wide-name-light-before-border.png</x:v>
      </x:c>
      <x:c r="G165" s="42" t="str">
        <x:v>Live native picker content, menu actions, selection independence, and maximum-length name wrapping before the bezel correction.</x:v>
      </x:c>
      <x:c r="H165" s="52" t="n">
        <x:v>46270.01611111111</x:v>
      </x:c>
      <x:c r="I165" s="42" t="str">
        <x:v>Does the native cell now show complete picker content and behavior without introducing a new visual failure?</x:v>
      </x:c>
      <x:c r="J165" s="42" t="str">
        <x:v>Partly. Titles, swatches, arrows, menu actions, independent selection, and 32-CJK wrapping pass. The missing native glass bezel keeps the visual verdict failed.</x:v>
      </x:c>
      <x:c r="K165" s="42" t="str">
        <x:v>Fail</x:v>
      </x:c>
      <x:c r="L165" s="42" t="str">
        <x:v>Reading SHA-256 is c50ffd3ca0c719707417d8bc3151949cba5ef97020782b43edf935b38bdc23de. Work SHA-256 is f8cb31fac9c546df0b8d4d03b274a85ce8c064fc7a42c431a8704ebae7344450. Wide-name SHA-256 is 7ab9ebd76bda1f9bb0c127821d9e7053768ad12b46f8a02853c85c418b4d7ebe.</x:v>
      </x:c>
    </x:row>
    <x:row r="166">
      <x:c r="A166" s="42" t="str">
        <x:v>EV-REGULAR-SPACER-PAINT-GREEN-001</x:v>
      </x:c>
      <x:c r="B166" s="42" t="str">
        <x:v>Light and dark runtime screenshots with direct pixel sample</x:v>
      </x:c>
      <x:c r="C166" s="42" t="str">
        <x:v>PRF-021, PRF-028, MEN-005, UX-003, MOT-005</x:v>
      </x:c>
      <x:c r="D166" s="42" t="str">
        <x:v>TR-REGULAR-SPACER-PAINT-GREEN-001</x:v>
      </x:c>
      <x:c r="E166" s="42" t="str">
        <x:v>narrow Regular spacer preview paint, 2026-09-04</x:v>
      </x:c>
      <x:c r="F166" s="42" t="str">
        <x:v>artifacts/ui/sidebar-free/picker-native-cell-work-light-focused.png; artifacts/ui/sidebar-free/picker-native-popup-work-dark-first.png; artifacts/video-reference/frames/frame-000500.png; artifacts/video-reference/frames/frame-000540.png; Sources/Dockit/ProfileDetailView.swift</x:v>
      </x:c>
      <x:c r="G166" s="42" t="str">
        <x:v>Static light and dark verification of Regular spacer paint after decoupling it from the logical slot width.</x:v>
      </x:c>
      <x:c r="H166" s="52" t="n">
        <x:v>46270.01568287037</x:v>
      </x:c>
      <x:c r="I166" s="42" t="str">
        <x:v>Does Regular now paint as a 20 by 40 narrow marker while retaining its 40 point logical allocation?</x:v>
      </x:c>
      <x:c r="J166" s="42" t="str">
        <x:v>Yes in the bounded static captures and source review. Old paint is 40 by 40, current paint is 20 by 40, and the outer Regular slot remains 40 points.</x:v>
      </x:c>
      <x:c r="K166" s="42" t="str">
        <x:v>Pass</x:v>
      </x:c>
      <x:c r="L166" s="42" t="str">
        <x:v>Light screenshot SHA-256 is f8cb31fac9c546df0b8d4d03b274a85ce8c064fc7a42c431a8704ebae7344450. Dark screenshot SHA-256 is 325f66577330294f8e444dfe48821c5e55fc1e8210e455fe73035bcd6fffd2b6. This does not verify Small or actual Dock behavior.</x:v>
      </x:c>
    </x:row>
    <x:row r="167">
      <x:c r="A167" s="42" t="str">
        <x:v>EV-NATIVE-PICKER-BORDER-CELL-HOSTED-GREEN-001</x:v>
      </x:c>
      <x:c r="B167" s="42" t="str">
        <x:v>Hosted test log and parsed result bundle</x:v>
      </x:c>
      <x:c r="C167" s="42" t="str">
        <x:v>PRF-003, PRF-004, PRF-009, PRF-023, PRF-029, MEN-002, MEN-005, UX-001, UX-003</x:v>
      </x:c>
      <x:c r="D167" s="42" t="str">
        <x:v>TR-NATIVE-PICKER-BORDER-CELL-HOSTED-GREEN-001</x:v>
      </x:c>
      <x:c r="E167" s="42" t="str">
        <x:v>native picker bordered-cell hosted retest, 2026-09-04</x:v>
      </x:c>
      <x:c r="F167" s="42" t="str">
        <x:v>artifacts/native-picker-border-hosted-retest.log; artifacts/test-results/DockitAppTests-native-picker-border-retest.xcresult</x:v>
      </x:c>
      <x:c r="G167" s="42" t="str">
        <x:v>Complete hosted regression after restoring isBordered on the replacement popup cell.</x:v>
      </x:c>
      <x:c r="H167" s="52" t="n">
        <x:v>46270.01646990741</x:v>
      </x:c>
      <x:c r="I167" s="42" t="str">
        <x:v>Did the hosted picker contracts remain green after restoring the cell border flag?</x:v>
      </x:c>
      <x:c r="J167" s="42" t="str">
        <x:v>Yes. All 41 declared tests and 44 concrete executions pass with no failures or skips. Live appearance remains a separate check.</x:v>
      </x:c>
      <x:c r="K167" s="42" t="str">
        <x:v>Pass</x:v>
      </x:c>
      <x:c r="L167" s="42" t="str">
        <x:v>Log SHA-256 is 0c4134936a0aeed763b67fd2647f392e460875d27353de8906e061b6c6a1537f.</x:v>
      </x:c>
    </x:row>
    <x:row r="168">
      <x:c r="A168" s="42" t="str">
        <x:v>EV-NATIVE-PICKER-BORDER-CELL-RUNTIME-RED-001</x:v>
      </x:c>
      <x:c r="B168" s="42" t="str">
        <x:v>Focused light runtime screenshot</x:v>
      </x:c>
      <x:c r="C168" s="42" t="str">
        <x:v>PRF-023, MEN-005, UX-003</x:v>
      </x:c>
      <x:c r="D168" s="42" t="str">
        <x:v>TR-NATIVE-PICKER-BORDER-CELL-RUNTIME-RED-001</x:v>
      </x:c>
      <x:c r="E168" s="42" t="str">
        <x:v>native picker bordered-cell runtime probe, 2026-09-04</x:v>
      </x:c>
      <x:c r="F168" s="42" t="str">
        <x:v>artifacts/ui/sidebar-free/picker-native-bordered-reading-light-focused.png</x:v>
      </x:c>
      <x:c r="G168" s="42" t="str">
        <x:v>Direct visual check after the hosted bordered-cell suite passed.</x:v>
      </x:c>
      <x:c r="H168" s="52" t="n">
        <x:v>46270.01721064815</x:v>
      </x:c>
      <x:c r="I168" s="42" t="str">
        <x:v>Did setting isBordered on the replacement cell restore the visible native picker surface?</x:v>
      </x:c>
      <x:c r="J168" s="42" t="str">
        <x:v>No. The title, swatch, and arrows are present, but the focused light picker still has no visible bezel.</x:v>
      </x:c>
      <x:c r="K168" s="42" t="str">
        <x:v>Fail</x:v>
      </x:c>
      <x:c r="L168" s="42" t="str">
        <x:v>Screenshot SHA-256 is c50ffd3ca0c719707417d8bc3151949cba5ef97020782b43edf935b38bdc23de. Its byte identity with the earlier Reading capture confirms the border flag alone made no visual change.</x:v>
      </x:c>
    </x:row>
    <x:row r="169">
      <x:c r="A169" s="42" t="str">
        <x:v>EV-NATIVE-PICKER-SHARED-GLASS-PARTIAL-001</x:v>
      </x:c>
      <x:c r="B169" s="42" t="str">
        <x:v>Signed build logs and focused light and dark screenshot matrix</x:v>
      </x:c>
      <x:c r="C169" s="42" t="str">
        <x:v>PRF-003, PRF-004, PRF-009, PRF-023, PRF-029, MEN-005, UX-001, UX-003</x:v>
      </x:c>
      <x:c r="D169" s="42" t="str">
        <x:v>TR-NATIVE-PICKER-SHARED-GLASS-PARTIAL-001</x:v>
      </x:c>
      <x:c r="E169" s="42" t="str">
        <x:v>native toolbar shared-glass and fixed-spacing picker, 2026-09-04</x:v>
      </x:c>
      <x:c r="F169" s="42" t="str">
        <x:v>artifacts/native-picker-toolbar-surface-build-retry.log; artifacts/native-picker-fixed-space-build.log; artifacts/ui/sidebar-free/picker-native-fixed-space-reading-light-default.png; artifacts/ui/sidebar-free/picker-native-fixed-space-work-light-default.png; artifacts/ui/sidebar-free/picker-native-fixed-space-work-light-minimum.png; artifacts/ui/sidebar-free/picker-native-fixed-space-work-dark-default.png; artifacts/ui/sidebar-free/picker-native-fixed-space-work-dark-minimum.png; artifacts/ui/sidebar-free/picker-native-fixed-space-wide-dark-default.png; artifacts/ui/sidebar-free/picker-native-fixed-space-wide-dark-minimum.png</x:v>
      </x:c>
      <x:c r="G169" s="42" t="str">
        <x:v>Native toolbar surface, adaptive text, and common-edge alignment after moving presentation responsibility to the toolbar.</x:v>
      </x:c>
      <x:c r="H169" s="52" t="n">
        <x:v>46270.02112268518</x:v>
      </x:c>
      <x:c r="I169" s="42" t="str">
        <x:v>Does the public native picker now match the required surface, text, and common-edge geometry in every tested state?</x:v>
      </x:c>
      <x:c r="J169" s="42" t="str">
        <x:v>Not yet. Surface, text, arrows, adaptive stacking, and continuous chrome pass, but the picker remains about 4 pixels farther right than Edit Dock at default width.</x:v>
      </x:c>
      <x:c r="K169" s="42" t="str">
        <x:v>Fail</x:v>
      </x:c>
      <x:c r="L169" s="42" t="str">
        <x:v>Build log SHA-256 values are b19fa59871d6966f1f5340b97fa8e17461882067fd8f8bcf67ad9ef31964e124 and a0742610d20b4b185abbb2a9f73fffe0142c22a77fdc732fbe52779f80b64670. Work light default is 05edfdb2c1f6203cbc0cc7ff9cc6cd7d7f84e31550195bbb82e54cbccd534818. Work light minimum is a55edf3932df7ed0b0b44986b15876498ab515e8cee22ec81de2b3d26089319a. Work dark default is bc7b95da3bb6e60e656818342950412638e514b068403e40132de691111dca4d. Work dark minimum is 311d01d049b8ecc25adacce9c46cc38cca16227ffe1e3449a779fa717b40a0a5. Wide dark default is 2b0a0a16c5d881bf17cbe0308c2e5978455459a17085c9946a0e296f75af63bf. Wide dark minimum is af6422e6971dc27835b7de3e006db6ace679184aa9849d0825672a3f7080ad51.</x:v>
      </x:c>
    </x:row>
    <x:row r="170">
      <x:c r="A170" s="42" t="str">
        <x:v>EV-NATIVE-PICKER-FINAL-LAYOUT-HOSTED-GREEN-001</x:v>
      </x:c>
      <x:c r="B170" s="42" t="str">
        <x:v>Final bounded hosted test log and parsed result bundle</x:v>
      </x:c>
      <x:c r="C170" s="42" t="str">
        <x:v>PRF-003, PRF-004, PRF-009, PRF-023, PRF-029, MEN-002, MEN-005, UX-001, UX-003</x:v>
      </x:c>
      <x:c r="D170" s="42" t="str">
        <x:v>TR-NATIVE-PICKER-FINAL-LAYOUT-HOSTED-GREEN-001</x:v>
      </x:c>
      <x:c r="E170" s="42" t="str">
        <x:v>native picker final bounded layout hosted regression, 2026-09-04</x:v>
      </x:c>
      <x:c r="F170" s="42" t="str">
        <x:v>artifacts/native-picker-final-layout-hosted.log; artifacts/test-results/DockitAppTests-native-picker-final-layout.xcresult; artifacts/ui/sidebar-free/picker-layout-grounding.md</x:v>
      </x:c>
      <x:c r="G170" s="42" t="str">
        <x:v>Complete hosted regression after the native shared surface and fixed toolbar spacing changes.</x:v>
      </x:c>
      <x:c r="H170" s="52" t="n">
        <x:v>46270.02211805555</x:v>
      </x:c>
      <x:c r="I170" s="42" t="str">
        <x:v>Did the final bounded native picker layout preserve the hosted behavior contracts?</x:v>
      </x:c>
      <x:c r="J170" s="42" t="str">
        <x:v>Yes. All 41 declared tests and 44 concrete executions pass with no failures or skips. Runtime exact-edge alignment remains open.</x:v>
      </x:c>
      <x:c r="K170" s="42" t="str">
        <x:v>Pass</x:v>
      </x:c>
      <x:c r="L170" s="42" t="str">
        <x:v>Log SHA-256 is 8bed2aad1359d3577f3ba2dcb71d06a5d9e87412dbafc5a0a956407eb943cdc7. The grounding audit SHA-256 is 3c3e50bc9aa23aea82fd9909e8d6c119bba0a912414e09fd759b4e7fb697320f.</x:v>
      </x:c>
    </x:row>
    <x:row r="171">
      <x:c r="A171" s="42" t="str">
        <x:v>EV-NATIVE-PICKER-COMMON-INSET-HOSTED-GREEN-001</x:v>
      </x:c>
      <x:c r="B171" s="42" t="str">
        <x:v>Hosted test log and parsed result bundle</x:v>
      </x:c>
      <x:c r="C171" s="42" t="str">
        <x:v>PRF-003, PRF-004, PRF-009, PRF-023, PRF-029, MEN-002, MEN-005, UX-001, UX-003</x:v>
      </x:c>
      <x:c r="D171" s="42" t="str">
        <x:v>TR-NATIVE-PICKER-COMMON-INSET-HOSTED-GREEN-001</x:v>
      </x:c>
      <x:c r="E171" s="42" t="str">
        <x:v>native picker common-inset hosted retest, 2026-09-04</x:v>
      </x:c>
      <x:c r="F171" s="42" t="str">
        <x:v>artifacts/native-picker-inset-hosted-retest.log; artifacts/test-results/DockitAppTests-native-picker-inset-retest.xcresult</x:v>
      </x:c>
      <x:c r="G171" s="42" t="str">
        <x:v>Complete hosted regression after changing the editor body to the native picker's 16 point common inset.</x:v>
      </x:c>
      <x:c r="H171" s="52" t="n">
        <x:v>46270.0265162037</x:v>
      </x:c>
      <x:c r="I171" s="42" t="str">
        <x:v>Did the common-inset correction preserve the hosted behavior contracts?</x:v>
      </x:c>
      <x:c r="J171" s="42" t="str">
        <x:v>Yes. All 41 declared tests and 44 concrete executions pass with no failures or skips. Live geometry is recorded separately.</x:v>
      </x:c>
      <x:c r="K171" s="42" t="str">
        <x:v>Pass</x:v>
      </x:c>
      <x:c r="L171" s="42" t="str">
        <x:v>Log SHA-256 is 66fc7e7edaaedc114ecf403f8abecae16749d37543cb2ea92f0903a554cb2e41.</x:v>
      </x:c>
    </x:row>
    <x:row r="172">
      <x:c r="A172" s="42" t="str">
        <x:v>EV-NATIVE-PICKER-COMMON-INSET-RUNTIME-GREEN-001</x:v>
      </x:c>
      <x:c r="B172" s="42" t="str">
        <x:v>Focused light and dark runtime screenshot matrix with direct geometry measurement</x:v>
      </x:c>
      <x:c r="C172" s="42" t="str">
        <x:v>PRF-003, PRF-004, PRF-009, PRF-023, PRF-029, MEN-005, UX-001, UX-003</x:v>
      </x:c>
      <x:c r="D172" s="42" t="str">
        <x:v>TR-NATIVE-PICKER-COMMON-INSET-RUNTIME-GREEN-001</x:v>
      </x:c>
      <x:c r="E172" s="42" t="str">
        <x:v>native picker common-inset runtime retest, 2026-09-04</x:v>
      </x:c>
      <x:c r="F172" s="42" t="str">
        <x:v>artifacts/ui/sidebar-free/picker-common-inset-work-light-default.png; artifacts/ui/sidebar-free/picker-common-inset-work-light-minimum.png; artifacts/ui/sidebar-free/picker-common-inset-work-dark-default.png; artifacts/ui/sidebar-free/picker-common-inset-work-dark-minimum.png; artifacts/video-reference/frames/frame-000000.png; artifacts/ui/sidebar-free/picker-layout-grounding.md</x:v>
      </x:c>
      <x:c r="G172" s="42" t="str">
        <x:v>Static common-edge verification after matching the editor body to the native toolbar picker's 16 point inset.</x:v>
      </x:c>
      <x:c r="H172" s="52" t="n">
        <x:v>46270.0265162037</x:v>
      </x:c>
      <x:c r="I172" s="42" t="str">
        <x:v>Does this move dockit closer to a native, obvious, zero-truncation profile switcher?</x:v>
      </x:c>
      <x:c r="J172" s="42" t="str">
        <x:v>Yes for this bounded geometry defect. Picker and Edit Dock now share the same measured right edge at default and minimum widths in light and dark, with complete labels and the native surface preserved.</x:v>
      </x:c>
      <x:c r="K172" s="42" t="str">
        <x:v>Pass</x:v>
      </x:c>
      <x:c r="L172" s="42" t="str">
        <x:v>Light default SHA-256 is d29fbf09ea9b5f3d4336a8f4d74edfe537bfed4f78decddb144d756bbfa95cf7. Light minimum is b352c13a1f018737f58dedea5eca44d3f35a508eb095c030224701325070474e. Dark default is c0959336fefe46834de53f0a09d1f3b3411a8e4fec8b7045d075b0abb6e25520. Dark minimum is d5638b76f3ca8368f9481328554107073c3f7e74144085ab6a7acb68979701b4. The updated grounding audit SHA-256 is 71a9bdea24b54302114581f0c00c408f857cf248940958d0b22d69f9604c3c8b.</x:v>
      </x:c>
    </x:row>
    <x:row r="173">
      <x:c r="A173" s="42" t="str">
        <x:v>EV-ICON-BACKGROUND-EXTRACTION-REJECTED-003</x:v>
      </x:c>
      <x:c r="B173" s="42" t="str">
        <x:v>Rejected generated PNG, validator log, and direct review record</x:v>
      </x:c>
      <x:c r="C173" s="42" t="str">
        <x:v>UX-002</x:v>
      </x:c>
      <x:c r="D173" s="42" t="str">
        <x:v>TR-ICON-BACKGROUND-EXTRACTION-REJECTED-003</x:v>
      </x:c>
      <x:c r="E173" s="42" t="str">
        <x:v>third white and pastel icon background-extraction attempt, 2026-09-04</x:v>
      </x:c>
      <x:c r="F173" s="42" t="str">
        <x:v>artifacts/ui/icon-review/white-pastel-alpha-revision-rejected.png; artifacts/icon-alpha-revision-20260904-validation.log; artifacts/ui/icon-review/white-pastel-final-audit.md</x:v>
      </x:c>
      <x:c r="G173" s="42" t="str">
        <x:v>Production-master gate for the third built-in background-extraction result.</x:v>
      </x:c>
      <x:c r="H173" s="52" t="n">
        <x:v>46270.03633101852</x:v>
      </x:c>
      <x:c r="I173" s="42" t="str">
        <x:v>Does this generated output provide a valid transparent production icon master while preserving the selected artwork?</x:v>
      </x:c>
      <x:c r="J173" s="42" t="str">
        <x:v>No. It has no alpha channel, retains the checkerboard, uses the wrong dimensions, and fails the unchanged validator with exit 65.</x:v>
      </x:c>
      <x:c r="K173" s="42" t="str">
        <x:v>Fail</x:v>
      </x:c>
      <x:c r="L173" s="42" t="str">
        <x:v>Rejected PNG SHA-256 is 68169ff06339fe16fa16bab347fabd6663560fc2d7140f95862b413d5f7f347b. Validation log SHA-256 is 5ad07f6009c2b4b46b683a4a9d510e52a8565aea986eee255f6d68f68c302650. Review record SHA-256 is 65125e43d792c4c6ec00e82226896ec143629cc788cca3eb98390d65e6135be7.</x:v>
      </x:c>
    </x:row>
    <x:row r="174">
      <x:c r="A174" s="42" t="str">
        <x:v>EV-PREVIEW-RANGE-SELECTION-LIGHT-GREEN-001</x:v>
      </x:c>
      <x:c r="B174" s="42" t="str">
        <x:v>Focused light screenshot sequence with accessibility selected-state inspection</x:v>
      </x:c>
      <x:c r="C174" s="42" t="str">
        <x:v>PRF-022, PRF-033, MEN-004</x:v>
      </x:c>
      <x:c r="D174" s="42" t="str">
        <x:v>TR-PREVIEW-RANGE-SELECTION-LIGHT-GREEN-001</x:v>
      </x:c>
      <x:c r="E174" s="42" t="str">
        <x:v>native preview range-selection light retest, 2026-09-04</x:v>
      </x:c>
      <x:c r="F174" s="42" t="str">
        <x:v>artifacts/ui/sidebar-free/selection-range-calendar-spacer-light.png; artifacts/ui/sidebar-free/selection-range-extended-light.png; artifacts/ui/sidebar-free/selection-range-contracted-light.png</x:v>
      </x:c>
      <x:c r="G174" s="42" t="str">
        <x:v>Range extension and contraction across an application, a Regular spacer, and another application.</x:v>
      </x:c>
      <x:c r="H174" s="52" t="n">
        <x:v>46270.037777777776</x:v>
      </x:c>
      <x:c r="I174" s="42" t="str">
        <x:v>Does this move dockit closer to an obvious and accessible multi-item preview editor?</x:v>
      </x:c>
      <x:c r="J174" s="42" t="str">
        <x:v>Yes for the tested light keyboard range. The visible selection grows and contracts in saved order, including the spacer, and accessibility selected traits stay in sync.</x:v>
      </x:c>
      <x:c r="K174" s="42" t="str">
        <x:v>Pass</x:v>
      </x:c>
      <x:c r="L174" s="42" t="str">
        <x:v>Calendar plus spacer SHA-256 is 5bf68700d07b1f304671bbdb3ee893db7c9e95f1a6baf81b733ba72745cdccdc. Extended through Notes is 7a7d2ce50e7a546c4e12f5fe7650deaa10bb7fc6d3d63cc29b873213e126b7b4. Contracted range is 93c946a39c5d629cbf40052da61ffd35808b0eec72351f7301afc477def60014.</x:v>
      </x:c>
    </x:row>
    <x:row r="175">
      <x:c r="A175" s="42" t="str">
        <x:v>EV-PREVIEW-ADJACENT-GROUP-DRAG-LIGHT-INCONCLUSIVE-001</x:v>
      </x:c>
      <x:c r="B175" s="42" t="str">
        <x:v>Focused light before-and-after screenshots from two screen-control drag attempts</x:v>
      </x:c>
      <x:c r="C175" s="42" t="str">
        <x:v>PRF-020, PRF-034</x:v>
      </x:c>
      <x:c r="D175" s="42" t="str">
        <x:v>TR-PREVIEW-ADJACENT-GROUP-DRAG-LIGHT-INCONCLUSIVE-001</x:v>
      </x:c>
      <x:c r="E175" s="42" t="str">
        <x:v>native preview adjacent-group pointer-drag attempt, 2026-09-04</x:v>
      </x:c>
      <x:c r="F175" s="42" t="str">
        <x:v>artifacts/ui/sidebar-free/selection-adjacent-group-drag-light.png; artifacts/ui/sidebar-free/selection-adjacent-group-end-drop-light.png</x:v>
      </x:c>
      <x:c r="G175" s="42" t="str">
        <x:v>Two pointer-drag attempts for an adjacent application-and-spacer selection.</x:v>
      </x:c>
      <x:c r="H175" s="52" t="n">
        <x:v>46270.037777777776</x:v>
      </x:c>
      <x:c r="I175" s="42" t="str">
        <x:v>Does this evidence prove that pointer group dragging works or that dockit rejected a valid native drag?</x:v>
      </x:c>
      <x:c r="J175" s="42" t="str">
        <x:v>Neither. The item order did not change, but the available evidence does not prove that a complete native drag session reached the app.</x:v>
      </x:c>
      <x:c r="K175" s="42" t="str">
        <x:v>Blocked</x:v>
      </x:c>
      <x:c r="L175" s="42" t="str">
        <x:v>Both result screenshots have SHA-256 4d0e2680c3b95ab4791cd7970cda1ca26d7cb9582d6db99bce3c812cdbfa34cf. Their byte identity confirms no visible state change, not the cause.</x:v>
      </x:c>
    </x:row>
    <x:row r="176">
      <x:c r="A176" s="42" t="str">
        <x:v>EV-PREVIEW-DISJOINT-BOUNDARY-MENU-MISMATCH-RED-001</x:v>
      </x:c>
      <x:c r="B176" s="42" t="str">
        <x:v>Focused light screenshots with native menu and accessibility inspection</x:v>
      </x:c>
      <x:c r="C176" s="42" t="str">
        <x:v>PRF-020, PRF-033, PRF-034, MEN-004</x:v>
      </x:c>
      <x:c r="D176" s="42" t="str">
        <x:v>TR-PREVIEW-DISJOINT-BOUNDARY-MENU-MISMATCH-RED-001</x:v>
      </x:c>
      <x:c r="E176" s="42" t="str">
        <x:v>native preview disjoint boundary movement light retest, 2026-09-04</x:v>
      </x:c>
      <x:c r="F176" s="42" t="str">
        <x:v>artifacts/ui/sidebar-free/selection-disjoint-accessible-toggle-light.png; artifacts/ui/sidebar-free/selection-boundary-keyboard-menu-mismatch-light.png</x:v>
      </x:c>
      <x:c r="G176" s="42" t="str">
        <x:v>Disjoint selection at a boundary where one selected block can still move earlier.</x:v>
      </x:c>
      <x:c r="H176" s="52" t="n">
        <x:v>46270.0403125</x:v>
      </x:c>
      <x:c r="I176" s="42" t="str">
        <x:v>Do the menu and keyboard path agree that this disjoint selection can move earlier?</x:v>
      </x:c>
      <x:c r="J176" s="42" t="str">
        <x:v>No. The menu is disabled, while Command+Option+Left performs the valid domain move and preserves selection and active state.</x:v>
      </x:c>
      <x:c r="K176" s="42" t="str">
        <x:v>Fail</x:v>
      </x:c>
      <x:c r="L176" s="42" t="str">
        <x:v>Disjoint selection SHA-256 is 63daa8fb3748079e98e2fb3a49e148bbae537c06d05db6be0a7ae19ddd8d087e. Post-keyboard movement SHA-256 is aecd39ca899b6aae9b2bbd544f429d5f3c889cc27c1d1c200a8926002ee7f086.</x:v>
      </x:c>
    </x:row>
    <x:row r="177">
      <x:c r="A177" s="42" t="str">
        <x:v>EV-PREVIEW-SINGLE-ITEM-DRAG-LIGHT-INCONCLUSIVE-001</x:v>
      </x:c>
      <x:c r="B177" s="42" t="str">
        <x:v>Focused light before-and-after screenshots from a screen-control drag attempt</x:v>
      </x:c>
      <x:c r="C177" s="42" t="str">
        <x:v>PRF-020</x:v>
      </x:c>
      <x:c r="D177" s="42" t="str">
        <x:v>TR-PREVIEW-SINGLE-ITEM-DRAG-LIGHT-INCONCLUSIVE-001</x:v>
      </x:c>
      <x:c r="E177" s="42" t="str">
        <x:v>native preview single-item pointer-drag attempt, 2026-09-04</x:v>
      </x:c>
      <x:c r="F177" s="42" t="str">
        <x:v>artifacts/ui/sidebar-free/selection-single-notes-before-drag-light.png; artifacts/ui/sidebar-free/selection-single-notes-after-drag-light.png</x:v>
      </x:c>
      <x:c r="G177" s="42" t="str">
        <x:v>Single selected Notes item pointer-drag attempt.</x:v>
      </x:c>
      <x:c r="H177" s="52" t="n">
        <x:v>46270.0403125</x:v>
      </x:c>
      <x:c r="I177" s="42" t="str">
        <x:v>Does this attempt prove either working pointer drag or a dockit drag failure?</x:v>
      </x:c>
      <x:c r="J177" s="42" t="str">
        <x:v>No. Order stayed unchanged, but native drag-session delivery is still unproven.</x:v>
      </x:c>
      <x:c r="K177" s="42" t="str">
        <x:v>Blocked</x:v>
      </x:c>
      <x:c r="L177" s="42" t="str">
        <x:v>Before SHA-256 is 2489b6897004b26bc450aded94d4f15cc9d4d150a5313831f2ed73e3a4180685. After SHA-256 is 1e1341ff985a961094334b5d16777d6a1572f34faf175f87776aab96b0c92ec3.</x:v>
      </x:c>
    </x:row>
    <x:row r="178">
      <x:c r="A178" s="42" t="str">
        <x:v>EV-REFERENCE-FRAMES-000030-000070-001</x:v>
      </x:c>
      <x:c r="B178" s="42" t="str">
        <x:v>Forty-one-frame original-detail review, canonical annotations, strict coverage result, and tool test log</x:v>
      </x:c>
      <x:c r="C178" s="42" t="str">
        <x:v>PRF-020, PRF-023, PRF-028, MEN-005, UX-003, MOT-005</x:v>
      </x:c>
      <x:c r="D178" s="42" t="str">
        <x:v>TR-REFERENCE-FRAMES-000030-000070-001</x:v>
      </x:c>
      <x:c r="E178" s="42" t="str">
        <x:v>formal reference coverage merge through 112 reviewed frames, 2026-09-04</x:v>
      </x:c>
      <x:c r="F178" s="42" t="str">
        <x:v>artifacts/video-reference/reviews/reference-frames-000030-000070.json; artifacts/video-reference/annotations.json; artifacts/video-reference/coverage.json; artifacts/reference-frame-112-tool-tests.log; artifacts/video-reference/frames/frame-000030.png; artifacts/video-reference/frames/frame-000070.png; artifacts/ui/sidebar-free/picker-common-inset-work-light-default.png; artifacts/ui/sidebar-free/picker-common-inset-work-dark-default.png</x:v>
      </x:c>
      <x:c r="G178" s="42" t="str">
        <x:v>Formal original-presentation-timestamp review of the reference drag-held interval through frame 70.</x:v>
      </x:c>
      <x:c r="H178" s="52" t="n">
        <x:v>46270.0403125</x:v>
      </x:c>
      <x:c r="I178" s="42" t="str">
        <x:v>Does this batch complete a valid dockit drag and motion comparison?</x:v>
      </x:c>
      <x:c r="J178" s="42" t="str">
        <x:v>No. It advances formal source review to 112 of 2,374 and preserves every new frame as notComparable because no equivalent current drag recording exists.</x:v>
      </x:c>
      <x:c r="K178" s="42" t="str">
        <x:v>Pass</x:v>
      </x:c>
      <x:c r="L178" s="42" t="str">
        <x:v>Review SHA-256 is 4b188f82769942097dd332ba83bc1f9d7b7f06b05ef4b6ec571d8566d92d1f44. annotations.json is 0c42dd2180a5908717377e8ee32711ddceda52665582d93548326bbb6b5938bb. coverage.json is fbe45d5eada7d4d2d9fa41c34b80f9432890055630b9d8104d9b0c4460ba051e. Tool test log is cb8b5e74d22ba4fcc0c8b3f282ff18abd1d3ed2b8eb0a6bbbb9ff4181fea2fea. The source media is unchanged.</x:v>
      </x:c>
    </x:row>
    <x:row r="179">
      <x:c r="A179" s="42" t="str">
        <x:v>EV-PREVIEW-BOUNDARY-ACTION-ENABLEMENT-GREEN-001</x:v>
      </x:c>
      <x:c r="B179" s="42" t="str">
        <x:v>Build and core test logs, native light screenshot matrix, accessibility inspection, and root audit</x:v>
      </x:c>
      <x:c r="C179" s="42" t="str">
        <x:v>PRF-020, PRF-033, PRF-034, MEN-004</x:v>
      </x:c>
      <x:c r="D179" s="42" t="str">
        <x:v>TR-PREVIEW-BOUNDARY-ACTION-ENABLEMENT-GREEN-001</x:v>
      </x:c>
      <x:c r="E179" s="42" t="str">
        <x:v>native preview boundary-action predicate retest, 2026-09-04</x:v>
      </x:c>
      <x:c r="F179" s="42" t="str">
        <x:v>artifacts/selection-boundary-build.log; artifacts/selection-boundary-core-retest.log; artifacts/ui/sidebar-free/selection-boundary-retest-audit.md; artifacts/ui/sidebar-free/selection-boundary-fixed-before-light.png; artifacts/ui/sidebar-free/selection-boundary-fixed-after-light.png; artifacts/ui/sidebar-free/selection-boundary-details-before-light.png; artifacts/ui/sidebar-free/selection-boundary-details-after-light.png; artifacts/ui/sidebar-free/selection-boundary-all-selected-light.png</x:v>
      </x:c>
      <x:c r="G179" s="42" t="str">
        <x:v>Red-to-green native menu and detail-action enablement for disjoint and no-op boundary selections.</x:v>
      </x:c>
      <x:c r="H179" s="52" t="n">
        <x:v>46270.04672453704</x:v>
      </x:c>
      <x:c r="I179" s="42" t="str">
        <x:v>Does this move dockit closer to a native, obvious multi-item editor without overstating the tested scope?</x:v>
      </x:c>
      <x:c r="J179" s="42" t="str">
        <x:v>Yes. Menu, detail actions, and the existing movement domain now agree in the tested earlier, later, adjacent-boundary, and all-selected cases. Dark, motion, pointer drag, and VoiceOver remain separate gates.</x:v>
      </x:c>
      <x:c r="K179" s="42" t="str">
        <x:v>Pass</x:v>
      </x:c>
      <x:c r="L179" s="42" t="str">
        <x:v>Build log SHA-256 is d5981407a4100dfd8e6139ad984d55b126f88e0e9ce6090a19c9fd62200c2bfa. Core log is 7a03fe077d9ac70664d75e414bbd9ee9075d71f391d98a60416fe49248df1973. Audit is 8924c29b6ef353a1249231032b7c13cfb012966012dc90b607fdcad9e7d177c5. Earlier before and after screenshots are a4312e5bc79fdd57cc09e3a9116b8636478b0a4b8063152360646381c2525d58 and 1880881340559d4151a3d6f44db7523acff280867ee63a4e5c14ee4cc119351b. Later detail screenshots are 090ad84fd1f73838139efd7e3d77249220e2f434e0686ffce15c14733903f88a and f9bab9b6b196934803e2b2870dac6b5aff09b134bdc2b1b158314f34cde8988c. All-selected is cf0d5c218e49c6fd8dd7cc01233fd71f15de49c7d02f9d4986334b6b6d769ef0.</x:v>
      </x:c>
    </x:row>
    <x:row r="180">
      <x:c r="A180" s="42" t="str">
        <x:v>EV-PREVIEW-CONTINUOUS-REFLOW-SOURCE-RED-001</x:v>
      </x:c>
      <x:c r="B180" s="42" t="str">
        <x:v>Source audit with original-presentation-timestamp reference frames</x:v>
      </x:c>
      <x:c r="C180" s="42" t="str">
        <x:v>PRF-020, PRF-028, PRF-034, MEN-005, MOT-005</x:v>
      </x:c>
      <x:c r="D180" s="42" t="str">
        <x:v>TR-PREVIEW-CONTINUOUS-REFLOW-SOURCE-RED-001</x:v>
      </x:c>
      <x:c r="E180" s="42" t="str">
        <x:v>current preview source and reference frames 44 through 70, 2026-09-04</x:v>
      </x:c>
      <x:c r="F180" s="42" t="str">
        <x:v>Sources/Dockit/ProfileDetailView.swift; artifacts/video-reference/reviews/reference-frames-000030-000070.json; artifacts/video-reference/frames/frame-000044.png; artifacts/video-reference/frames/frame-000070.png</x:v>
      </x:c>
      <x:c r="G180" s="42" t="str">
        <x:v>Prospective insertion and neighbor displacement while a reference item remains held before drop.</x:v>
      </x:c>
      <x:c r="H180" s="52" t="n">
        <x:v>46270.04813657407</x:v>
      </x:c>
      <x:c r="I180" s="42" t="str">
        <x:v>Can the current preview source produce the reference's continuous neighbor reflow before a drop is accepted?</x:v>
      </x:c>
      <x:c r="J180" s="42" t="str">
        <x:v>No. It renders the saved array directly, changes only a target outline during hover, and mutates order after acceptDrop.</x:v>
      </x:c>
      <x:c r="K180" s="42" t="str">
        <x:v>Fail</x:v>
      </x:c>
      <x:c r="L180" s="42" t="str">
        <x:v>Source SHA-256 is ee22d5efdc80ebb96020477f3a64fa94fc3adc14ef6cb3e56c49f6820fab9203. Frame 44 SHA-256 is c7d42e75c8af4eff2d21f6283375e770e9991792bd27e1a661db13bcbb07128a. Frame 70 is 8e32c134a8f491123d586d5745a4b49f21660ec093c80318d73dbb9a76006619. Review SHA-256 is 4b188f82769942097dd332ba83bc1f9d7b7f06b05ef4b6ec571d8566d92d1f44.</x:v>
      </x:c>
    </x:row>
    <x:row r="181">
      <x:c r="A181" s="42" t="str">
        <x:v>EV-NATIVE-DRAG-DIAGNOSTIC-COMPILE-RED-001</x:v>
      </x:c>
      <x:c r="B181" s="42" t="str">
        <x:v>Debug diagnostic build log</x:v>
      </x:c>
      <x:c r="C181" s="42" t="str">
        <x:v>PRF-020, PRF-034, MOT-005</x:v>
      </x:c>
      <x:c r="D181" s="42" t="str">
        <x:v>TR-NATIVE-DRAG-DIAGNOSTIC-COMPILE-RED-001</x:v>
      </x:c>
      <x:c r="E181" s="42" t="str">
        <x:v>temporary gated native drag diagnostic build, 2026-09-04</x:v>
      </x:c>
      <x:c r="F181" s="42" t="str">
        <x:v>artifacts/native-drag-diagnostic-build.log</x:v>
      </x:c>
      <x:c r="G181" s="42" t="str">
        <x:v>Compile gate before collecting native drag callback traces.</x:v>
      </x:c>
      <x:c r="H181" s="52" t="n">
        <x:v>46270.04813657407</x:v>
      </x:c>
      <x:c r="I181" s="42" t="str">
        <x:v>Can this diagnostic build provide runtime evidence about pointer drag delivery?</x:v>
      </x:c>
      <x:c r="J181" s="42" t="str">
        <x:v>No. It fails compilation before runtime because the logger captures a non-escaping autoclosure.</x:v>
      </x:c>
      <x:c r="K181" s="42" t="str">
        <x:v>Blocked</x:v>
      </x:c>
      <x:c r="L181" s="42" t="str">
        <x:v>Log SHA-256 is 7b6527b1acb84033529fb1348788e2d349be292a15e6360e053f09bed29c9524. The planned repair evaluates the gated message into a local String before Logger interpolation.</x:v>
      </x:c>
    </x:row>
    <x:row r="182">
      <x:c r="A182" s="42" t="str">
        <x:v>EV-NATIVE-DRAG-DIAGNOSTIC-COMPILE-GREEN-001</x:v>
      </x:c>
      <x:c r="B182" s="42" t="str">
        <x:v>Repaired signed diagnostic build log and source review</x:v>
      </x:c>
      <x:c r="C182" s="42" t="str">
        <x:v>PRF-020, PRF-034, MOT-005</x:v>
      </x:c>
      <x:c r="D182" s="42" t="str">
        <x:v>TR-NATIVE-DRAG-DIAGNOSTIC-COMPILE-GREEN-001</x:v>
      </x:c>
      <x:c r="E182" s="42" t="str">
        <x:v>repaired temporary gated native drag diagnostic, 2026-09-04</x:v>
      </x:c>
      <x:c r="F182" s="42" t="str">
        <x:v>artifacts/native-drag-diagnostic-build-retest.log; Sources/Dockit/ProfileDetailView.swift</x:v>
      </x:c>
      <x:c r="G182" s="42" t="str">
        <x:v>Compile recovery for temporary gated drag callback traces.</x:v>
      </x:c>
      <x:c r="H182" s="52" t="n">
        <x:v>46270.05144675926</x:v>
      </x:c>
      <x:c r="I182" s="42" t="str">
        <x:v>Is the diagnostic build ready to collect callback evidence after the autoclosure repair?</x:v>
      </x:c>
      <x:c r="J182" s="42" t="str">
        <x:v>Yes. Root reviewed the local-String repair and the signed debug build succeeds.</x:v>
      </x:c>
      <x:c r="K182" s="42" t="str">
        <x:v>Pass</x:v>
      </x:c>
      <x:c r="L182" s="42" t="str">
        <x:v>Build log SHA-256 is b6372e5a44efdb1a6296ed33e6ec898b38c11e843784ffe5459cf015b8a59c55.</x:v>
      </x:c>
    </x:row>
    <x:row r="183">
      <x:c r="A183" s="42" t="str">
        <x:v>EV-NATIVE-DRAG-CALLBACK-TRACE-001</x:v>
      </x:c>
      <x:c r="B183" s="42" t="str">
        <x:v>Unified debug callback trace</x:v>
      </x:c>
      <x:c r="C183" s="42" t="str">
        <x:v>PRF-020, PRF-034, MOT-005</x:v>
      </x:c>
      <x:c r="D183" s="42" t="str">
        <x:v>TR-NATIVE-DRAG-CALLBACK-TRACE-001</x:v>
      </x:c>
      <x:c r="E183" s="42" t="str">
        <x:v>temporary gated native drag callback trace, 2026-09-04</x:v>
      </x:c>
      <x:c r="F183" s="42" t="str">
        <x:v>artifacts/native-drag-callback-trace.log</x:v>
      </x:c>
      <x:c r="G183" s="42" t="str">
        <x:v>First callback-boundary trace for a screen-control drag attempt.</x:v>
      </x:c>
      <x:c r="H183" s="52" t="n">
        <x:v>46270.05144675926</x:v>
      </x:c>
      <x:c r="I183" s="42" t="str">
        <x:v>Does this trace establish the root cause of the no-op pointer drag?</x:v>
      </x:c>
      <x:c r="J183" s="42" t="str">
        <x:v>No. It proves that the first attempt created a valid one-item provider, but no target or accept callback was observed. The source of that break remains unknown.</x:v>
      </x:c>
      <x:c r="K183" s="42" t="str">
        <x:v>Blocked</x:v>
      </x:c>
      <x:c r="L183" s="42" t="str">
        <x:v>Trace SHA-256 is 670ab46db2dcf05b15dda19b9ea5e2a2745521bba603b6c9f6de132a1e97e0a7. No product drag defect is inferred from this trace.</x:v>
      </x:c>
    </x:row>
    <x:row r="184">
      <x:c r="A184" s="42" t="str">
        <x:v>EV-REFERENCE-FRAMES-000071-000090-001</x:v>
      </x:c>
      <x:c r="B184" s="42" t="str">
        <x:v>Twenty-frame original-detail review, canonical annotations, strict coverage output, and tool test log</x:v>
      </x:c>
      <x:c r="C184" s="42" t="str">
        <x:v>PRF-020, PRF-023, PRF-028, MEN-005, UX-003, MOT-005</x:v>
      </x:c>
      <x:c r="D184" s="42" t="str">
        <x:v>TR-REFERENCE-FRAMES-000071-000090-001</x:v>
      </x:c>
      <x:c r="E184" s="42" t="str">
        <x:v>formal reference coverage merge through 132 reviewed frames, 2026-09-04</x:v>
      </x:c>
      <x:c r="F184" s="42" t="str">
        <x:v>artifacts/video-reference/reviews/reference-frames-000071-000090.json; artifacts/video-reference/annotations.json; artifacts/video-reference/coverage.json; artifacts/reference-frame-132-coverage.log; artifacts/reference-frame-132-tool-tests.log; artifacts/video-reference/frames/frame-000071.png; artifacts/video-reference/frames/frame-000072.png; artifacts/video-reference/frames/frame-000078.png; artifacts/video-reference/frames/frame-000090.png</x:v>
      </x:c>
      <x:c r="G184" s="42" t="str">
        <x:v>Reference drag release, settle, and unsaved-state interval through frame 90.</x:v>
      </x:c>
      <x:c r="H184" s="52" t="n">
        <x:v>46270.05144675926</x:v>
      </x:c>
      <x:c r="I184" s="42" t="str">
        <x:v>Does this batch prove matching dockit drag, settle, save, or motion behavior?</x:v>
      </x:c>
      <x:c r="J184" s="42" t="str">
        <x:v>No. It advances formal source review to 132 of 2,374 and records the visible reference sequence, but all 20 new frames remain notComparable without an equivalent current recording.</x:v>
      </x:c>
      <x:c r="K184" s="42" t="str">
        <x:v>Pass</x:v>
      </x:c>
      <x:c r="L184" s="42" t="str">
        <x:v>Review SHA-256 is 95047657aa6be655a62d00dfea680cab40922669d961c52985c752a20369e801. annotations.json is c974f2aa5c3cbbb7c3f861d61e3ba6d628a5113216539fc6cdd68a14d9eabf0d. coverage.json and retained coverage output are 27ecc534631935bf421b959efec3439c9c0228a7c7b4b2493086605381564a16. Tool test log is 9b4b333a21ba0ace33ef1ed3f72d799853d2d85b2a575a3f05e8981bb09eb7b7. The source media remains unchanged.</x:v>
      </x:c>
    </x:row>
    <x:row r="185">
      <x:c r="A185" s="42" t="str">
        <x:v>EV-NATIVE-DRAG-MINIMAL-CONTROL-PROBE-001</x:v>
      </x:c>
      <x:c r="B185" s="42" t="str">
        <x:v>Temporary control-probe build, unified callback trace, screenshot sequence, and root audit</x:v>
      </x:c>
      <x:c r="C185" s="42" t="str">
        <x:v>PRF-020, PRF-034, MOT-005</x:v>
      </x:c>
      <x:c r="D185" s="42" t="str">
        <x:v>TR-NATIVE-DRAG-MINIMAL-CONTROL-PROBE-001</x:v>
      </x:c>
      <x:c r="E185" s="42" t="str">
        <x:v>temporary minimal native drag control probe, 2026-09-04</x:v>
      </x:c>
      <x:c r="F185" s="42" t="str">
        <x:v>artifacts/native-drag-probe-build.log; artifacts/native-drag-callback-trace.log; artifacts/ui/sidebar-free/drag-probe-controlled-before.png; artifacts/ui/sidebar-free/drag-probe-controlled-after.png; artifacts/ui/sidebar-free/drag-probe-controlled-settled.png; artifacts/ui/sidebar-free/native-drag-diagnostic-audit.md</x:v>
      </x:c>
      <x:c r="G185" s="42" t="str">
        <x:v>Controlled pointer gesture on a stripped-down native drag source and destination after excluding unattributed earlier callbacks.</x:v>
      </x:c>
      <x:c r="H185" s="52" t="n">
        <x:v>46270.057708333334</x:v>
      </x:c>
      <x:c r="I185" s="42" t="str">
        <x:v>Does the minimal control prove that dockit's production editor caused the no-op pointer drags?</x:v>
      </x:c>
      <x:c r="J185" s="42" t="str">
        <x:v>No. The controlled minimal probe also stops after provider creation, so the editor cannot be singled out and the delivery root cause remains unknown.</x:v>
      </x:c>
      <x:c r="K185" s="42" t="str">
        <x:v>Blocked</x:v>
      </x:c>
      <x:c r="L185" s="42" t="str">
        <x:v>Probe build SHA-256 is 8f5146ae14610ff5c78e55df7e11fab2ab3b7c3e54cf7e3aacc25b14abc789fe. Callback trace is 670ab46db2dcf05b15dda19b9ea5e2a2745521bba603b6c9f6de132a1e97e0a7. Controlled baseline screenshot is e500835d8eddef46f646ace5dba0309368e84456f486dc4427cbd4fd508dbdba. Immediate and settled screenshots are byte-identical at d694f37dd3eb1b39fbba8fed59be020bd98a538cd82fc7e6d5f43294e89ef774. Audit SHA-256 is bad5a4160bfa65025f8f245837ede377dcba7e1f0ac231b77f9a59f513e02662.</x:v>
      </x:c>
    </x:row>
    <x:row r="186">
      <x:c r="A186" s="42" t="str">
        <x:v>EV-BOUNDARY-DRAG-DIAGNOSTIC-CLEANUP-GREEN-001</x:v>
      </x:c>
      <x:c r="B186" s="42" t="str">
        <x:v>Post-cleanup core log, hosted log, parsed result bundle, and source audit</x:v>
      </x:c>
      <x:c r="C186" s="42" t="str">
        <x:v>PRF-020, PRF-033, PRF-034, MEN-004, MOT-005</x:v>
      </x:c>
      <x:c r="D186" s="42" t="str">
        <x:v>TR-BOUNDARY-DRAG-DIAGNOSTIC-CLEANUP-GREEN-001</x:v>
      </x:c>
      <x:c r="E186" s="42" t="str">
        <x:v>post-diagnostic production-source cleanup regression, 2026-09-04</x:v>
      </x:c>
      <x:c r="F186" s="42" t="str">
        <x:v>artifacts/boundary-drag-cleanup-app-build.log; artifacts/boundary-drag-cleanup-core-retest.log; artifacts/boundary-drag-cleanup-hosted-retest.log; artifacts/boundary-drag-cleanup-hosted-summary.json; artifacts/test-results/DockitAppTests-boundary-drag-cleanup.xcresult; artifacts/ui/sidebar-free/native-drag-diagnostic-audit.md</x:v>
      </x:c>
      <x:c r="G186" s="42" t="str">
        <x:v>Full automated regression after removing every temporary drag diagnostic while retaining the verified boundary predicate fix.</x:v>
      </x:c>
      <x:c r="H186" s="52" t="n">
        <x:v>46270.057708333334</x:v>
      </x:c>
      <x:c r="I186" s="42" t="str">
        <x:v>Did cleanup preserve the bounded boundary fix and existing automated behavior contracts without shipping probe code?</x:v>
      </x:c>
      <x:c r="J186" s="42" t="str">
        <x:v>Yes. All temporary probe and trace code is removed, the core suite passes 87 checks, and the hosted suite passes 41 declared tests and 44 concrete executions with no failures or skips.</x:v>
      </x:c>
      <x:c r="K186" s="42" t="str">
        <x:v>Pass</x:v>
      </x:c>
      <x:c r="L186" s="42" t="str">
        <x:v>Clean app build SHA-256 is 57c84d5eeb795246dc0598b09688c0e5874e60d48dfe53de92b129f0730e34b6. Core log is f96693feaf0b31d780ad83763becc1e8834df4fab220d23021c583a45bf9876e. Hosted log is 04c3f8c8c3e6aefca878b91ab4271aeb1a6f566ca16904d881c3ca43ac87ce20. Parsed summary is 92bc064b8834a3a4a3a19cfaa39d2464b9f30f0da6bbc3157af3d008f83e6211. Audit is bad5a4160bfa65025f8f245837ede377dcba7e1f0ac231b77f9a59f513e02662.</x:v>
      </x:c>
    </x:row>
    <x:row r="187">
      <x:c r="A187" s="42" t="str">
        <x:v>EV-BOUNDARY-DRAG-POST-CLEANUP-APPEARANCE-BLOCKED-001</x:v>
      </x:c>
      <x:c r="B187" s="42" t="str">
        <x:v>Shared GUI control interruption record</x:v>
      </x:c>
      <x:c r="C187" s="42" t="str">
        <x:v>PRF-020, PRF-033, PRF-034, MEN-005, UX-003</x:v>
      </x:c>
      <x:c r="D187" s="42" t="str">
        <x:v>TR-BOUNDARY-DRAG-POST-CLEANUP-APPEARANCE-BLOCKED-001</x:v>
      </x:c>
      <x:c r="E187" s="42" t="str">
        <x:v>post-diagnostic clean app appearance attempt, 2026-09-04</x:v>
      </x:c>
      <x:c r="F187" s="42" t="str">
        <x:v>artifacts/ledger/post-cleanup-appearance-blocked-20260904.json</x:v>
      </x:c>
      <x:c r="G187" s="42" t="str">
        <x:v>Attempted four-state appearance review after diagnostic cleanup.</x:v>
      </x:c>
      <x:c r="H187" s="52" t="n">
        <x:v>46270.057708333334</x:v>
      </x:c>
      <x:c r="I187" s="42" t="str">
        <x:v>Can this interrupted session support a post-cleanup appearance verdict or a product defect?</x:v>
      </x:c>
      <x:c r="J187" s="42" t="str">
        <x:v>No. App state changed outside the recorded test actions, so root stopped rather than risk conflicting input or false attribution.</x:v>
      </x:c>
      <x:c r="K187" s="42" t="str">
        <x:v>Blocked</x:v>
      </x:c>
      <x:c r="L187" s="42" t="str">
        <x:v>The record preserves the exact intended scope, outside-change observations, stop decision, and claims not made.</x:v>
      </x:c>
    </x:row>
    <x:row r="188">
      <x:c r="A188" s="42" t="str">
        <x:v>EV-REFERENCE-EDITOR-HOSTED-001</x:v>
      </x:c>
      <x:c r="B188" s="42" t="str">
        <x:v>Hosted result bundle and automated logs</x:v>
      </x:c>
      <x:c r="C188" s="42" t="str">
        <x:v>PRF-020, PRF-023, PRF-028, PRF-034, PRF-004, MEN-005</x:v>
      </x:c>
      <x:c r="D188" s="42" t="str">
        <x:v>TR-REFERENCE-EDITOR-HOSTED-001</x:v>
      </x:c>
      <x:c r="E188" s="42" t="str">
        <x:v>first integrated fixed-editor build</x:v>
      </x:c>
      <x:c r="F188" s="42" t="str">
        <x:v>artifacts/reference-editor/integrated-hosted.xcresult; artifacts/reference-editor/integrated-hosted.log; artifacts/reference-editor/integrated-core.log; artifacts/reference-editor/ledger-video-tests.log</x:v>
      </x:c>
      <x:c r="G188" s="42" t="str">
        <x:v>Integrated regression after the immutable drop boundary and fixed editor implementation.</x:v>
      </x:c>
      <x:c r="H188" s="52" t="n">
        <x:v>46270.40405262732</x:v>
      </x:c>
      <x:c r="I188" s="42" t="str">
        <x:v>Do the automated checks prove the bounded model and window contracts?</x:v>
      </x:c>
      <x:c r="J188" s="42" t="str">
        <x:v>Yes. The declared suites ran without failures. They do not establish visual parity, real Dock preservation, pointer dragging or accessibility behavior.</x:v>
      </x:c>
      <x:c r="K188" s="42" t="str">
        <x:v>Pass</x:v>
      </x:c>
      <x:c r="L188" s="42" t="str">
        <x:v>Direct root review of the worker result and integrated source follows delegate and poteto prove-it-works. Visual and motion review remain separate.</x:v>
      </x:c>
    </x:row>
    <x:row r="189">
      <x:c r="A189" s="42" t="str">
        <x:v>EV-REFERENCE-EDITOR-STATIC-001</x:v>
      </x:c>
      <x:c r="B189" s="42" t="str">
        <x:v>Static screenshot and normalized geometry review</x:v>
      </x:c>
      <x:c r="C189" s="42" t="str">
        <x:v>PRF-023, PRF-004, MEN-005, UX-003, PRF-034</x:v>
      </x:c>
      <x:c r="D189" s="42" t="str">
        <x:v>TR-REFERENCE-EDITOR-STATIC-001</x:v>
      </x:c>
      <x:c r="E189" s="42" t="str">
        <x:v>first integrated fixed-editor demo</x:v>
      </x:c>
      <x:c r="F189" s="42" t="str">
        <x:v>artifacts/reference-editor/refreshed-dark.png; artifacts/reference-editor/geometry-material-review.md; artifacts/ui/reference-editor-work.md</x:v>
      </x:c>
      <x:c r="G189" s="42" t="str">
        <x:v>First actual fixed editor comparison with the reference.</x:v>
      </x:c>
      <x:c r="H189" s="52" t="n">
        <x:v>46270.40405268518</x:v>
      </x:c>
      <x:c r="I189" s="42" t="str">
        <x:v>Does this move dockit closer to a native, obvious, zero-truncation profile switcher?</x:v>
      </x:c>
      <x:c r="J189" s="42" t="str">
        <x:v>The fixed frame, two preview layers, neutral actions and slim spacer are closer. Picker backing, action widths and focus treatment still differ. Full-name fit, dark appearance and interaction behavior are not established.</x:v>
      </x:c>
      <x:c r="K189" s="42" t="str">
        <x:v>Fail</x:v>
      </x:c>
      <x:c r="L189" s="42" t="str">
        <x:v>The first small Stage Manager thumbnails were excluded from geometry and appearance verification. No recording exists for this state.</x:v>
      </x:c>
    </x:row>
    <x:row r="190">
      <x:c r="A190" s="42" t="str">
        <x:v>EV-REFERENCE-ICON-MASK-001</x:v>
      </x:c>
      <x:c r="B190" s="42" t="str">
        <x:v>Reviewed master, composites, mask tests and raster pipeline log</x:v>
      </x:c>
      <x:c r="C190" s="42" t="str">
        <x:v>UX-002, MEN-007, SET-004</x:v>
      </x:c>
      <x:c r="D190" s="42" t="str">
        <x:v>TR-REFERENCE-ICON-MASK-001</x:v>
      </x:c>
      <x:c r="E190" s="42" t="str">
        <x:v>review-ready-02</x:v>
      </x:c>
      <x:c r="F190" s="42" t="str">
        <x:v>artifacts/reference-icon-mask/audit.md; artifacts/reference-icon-mask/root-mask-retest.log; artifacts/reference-icon-mask/production-generation.log; Design/AppIconMaster.png; Design/MenuBarIcon16.svg; Design/MenuBarIcon18.svg</x:v>
      </x:c>
      <x:c r="G190" s="42" t="str">
        <x:v>Approved white-and-pastel mascot cleanup without redrawing the face, paws, shelf or tiles.</x:v>
      </x:c>
      <x:c r="H190" s="52" t="n">
        <x:v>46270.40405280093</x:v>
      </x:c>
      <x:c r="I190" s="42" t="str">
        <x:v>Is the production master genuinely transparent outside the icon and visually unchanged inside?</x:v>
      </x:c>
      <x:c r="J190" s="42" t="str">
        <x:v>Yes within the tested and inspected contour. The corrected mask removes the shoulder checker fragments, and opaque source pixels are unchanged. Live system appearance checks remain open.</x:v>
      </x:c>
      <x:c r="K190" s="42" t="str">
        <x:v>Pass</x:v>
      </x:c>
      <x:c r="L190" s="42" t="str">
        <x:v>Master SHA-256: 72129fbdc96783bf8cba4ee641ee95a10ba575ad874a7bd4788f9f878027815c. Source and contour diagnostics are retained in the audit.</x:v>
      </x:c>
    </x:row>
    <x:row r="191">
      <x:c r="A191" s="42" t="str">
        <x:v>EV-REFERENCE-FRAMES-000091-000210-001</x:v>
      </x:c>
      <x:c r="B191" s="42" t="str">
        <x:v>Individual frame reports, timestamped annotations and coverage</x:v>
      </x:c>
      <x:c r="C191" s="42" t="str">
        <x:v>UX-003, MOT-005, PRF-034</x:v>
      </x:c>
      <x:c r="D191" s="42" t="str">
        <x:v>TR-REFERENCE-FRAMES-000091-000210-001</x:v>
      </x:c>
      <x:c r="E191" s="42" t="str">
        <x:v>252-frame review checkpoint</x:v>
      </x:c>
      <x:c r="F191" s="42" t="str">
        <x:v>artifacts/video-reference/annotations.json; artifacts/video-reference/coverage.json; artifacts/video-reference/reviews/reference-frames-000091-000150.json; artifacts/video-reference/reviews/reference-frames-000151-000210.json</x:v>
      </x:c>
      <x:c r="G191" s="42" t="str">
        <x:v>Reference resting and selection states reviewed at original resolution.</x:v>
      </x:c>
      <x:c r="H191" s="52" t="n">
        <x:v>46270.404052847225</x:v>
      </x:c>
      <x:c r="I191" s="42" t="str">
        <x:v>Does the new coverage prove 1:1 application behavior or complete frame review?</x:v>
      </x:c>
      <x:c r="J191" s="42" t="str">
        <x:v>No. It records 120 more individually inspected source frames. The full review and matched current recordings remain incomplete.</x:v>
      </x:c>
      <x:c r="K191" s="42" t="str">
        <x:v>Pass</x:v>
      </x:c>
      <x:c r="L191" s="42" t="str">
        <x:v>Pass applies to the bounded evidence audit only. No new frame is labeled match.</x:v>
      </x:c>
    </x:row>
    <x:row r="192">
      <x:c r="A192" s="42" t="str">
        <x:v>EV-REFERENCE-FEEDBACK-20260905</x:v>
      </x:c>
      <x:c r="B192" s="42" t="str">
        <x:v>User screenshot and defect report</x:v>
      </x:c>
      <x:c r="C192" s="42" t="str">
        <x:v>UX-002, UX-003, PRF-004, PRF-023, PRF-034, MEN-007, MOT-005</x:v>
      </x:c>
      <x:c r="D192" s="42" t="str">
        <x:v>TR-REFERENCE-FEEDBACK-20260905</x:v>
      </x:c>
      <x:c r="E192" s="42" t="str">
        <x:v>user-visible current app</x:v>
      </x:c>
      <x:c r="F192" s="42" t="str">
        <x:v>artifacts/reference-editor/user-icon-underfill.png; artifacts/reference-editor/qa-menu-glass-light.png</x:v>
      </x:c>
      <x:c r="G192" s="42" t="str">
        <x:v>Current implementation compared with the reference and latest user feedback.</x:v>
      </x:c>
      <x:c r="H192" s="52" t="n">
        <x:v>46270.437106805555</x:v>
      </x:c>
      <x:c r="I192" s="42" t="str">
        <x:v>Does the current result meet the reference and dark-mode expectations?</x:v>
      </x:c>
      <x:c r="J192" s="42" t="str">
        <x:v>No. The icon has an extra visible outer plate. The glass-control candidate adds shine the user explicitly rejects. Color, picker fit and motion fixes remain required.</x:v>
      </x:c>
      <x:c r="K192" s="42" t="str">
        <x:v>Fail</x:v>
      </x:c>
      <x:c r="L192" s="42" t="str">
        <x:v>Latest explicit user feedback supersedes the earlier glass-control candidate. Keep native ordinary translucency, not simulated glass.</x:v>
      </x:c>
    </x:row>
    <x:row r="193">
      <x:c r="A193" s="42" t="str">
        <x:v>EV-FLAT-TESTS-073-085</x:v>
      </x:c>
      <x:c r="B193" s="42" t="str">
        <x:v>Test log and audit</x:v>
      </x:c>
      <x:c r="C193" s="42" t="str">
        <x:v>UX-001, UX-003, PRF-004, PRF-020, PRF-034, PRF-032</x:v>
      </x:c>
      <x:c r="D193" s="42" t="str">
        <x:v>TR-FLAT-TESTS-073-085</x:v>
      </x:c>
      <x:c r="E193" s="42" t="str">
        <x:v>flat-feedback-final, macOS 26.6, ad-hoc isolated demo 2026-09-05</x:v>
      </x:c>
      <x:c r="F193" s="42" t="str">
        <x:v>artifacts/reference-editor/flat-controls-picker-hosted.log; artifacts/reference-editor/native-icon-drag-hosted.log</x:v>
      </x:c>
      <x:c r="G193" s="42" t="str">
        <x:v>Build and run the isolated hosted suites after flat controls, picker measurement, native drag adapter and asset integration.</x:v>
      </x:c>
      <x:c r="H193" s="52" t="n">
        <x:v>46270.49245842593</x:v>
      </x:c>
      <x:c r="I193" s="42" t="str">
        <x:v>Does this move dockit closer to a native, obvious, zero-truncation profile switcher?</x:v>
      </x:c>
      <x:c r="J193" s="42" t="str">
        <x:v>Intermediate builds pass 73 and then 85 declared hosted tests. Native drag selection-anchor and malformed-payload corrections are included in the 85-test native-icon-drag run. These are not live pointer or visual tests.</x:v>
      </x:c>
      <x:c r="K193" s="42" t="str">
        <x:v>Pass</x:v>
      </x:c>
      <x:c r="L193" s="42" t="str">
        <x:v>Use the recorded scope. No exact video parity, full motion or real Dock preservation is implied.</x:v>
      </x:c>
    </x:row>
    <x:row r="194">
      <x:c r="A194" s="42" t="str">
        <x:v>EV-PICKER-INSET-RED</x:v>
      </x:c>
      <x:c r="B194" s="42" t="str">
        <x:v>Test log and audit</x:v>
      </x:c>
      <x:c r="C194" s="42" t="str">
        <x:v>UX-001, PRF-029, MEN-002</x:v>
      </x:c>
      <x:c r="D194" s="42" t="str">
        <x:v>TR-PICKER-INSET-RED</x:v>
      </x:c>
      <x:c r="E194" s="42" t="str">
        <x:v>flat-feedback-final, macOS 26.6, ad-hoc isolated demo 2026-09-05</x:v>
      </x:c>
      <x:c r="F194" s="42" t="str">
        <x:v>artifacts/reference-editor/picker-inset-red.log</x:v>
      </x:c>
      <x:c r="G194" s="42" t="str">
        <x:v>Add a native-cell regression with actual swatch and arrows for Reading, current dock and a 32-W name.</x:v>
      </x:c>
      <x:c r="H194" s="52" t="n">
        <x:v>46270.492458472225</x:v>
      </x:c>
      <x:c r="I194" s="42" t="str">
        <x:v>Does this move dockit closer to a native, obvious, zero-truncation profile switcher?</x:v>
      </x:c>
      <x:c r="J194" s="42" t="str">
        <x:v>86 declared tests run with two issues in the new parameterized inset test. Current dock and 32-W have only three points of image clearance. Reading and the remaining tests pass.</x:v>
      </x:c>
      <x:c r="K194" s="42" t="str">
        <x:v>Fail</x:v>
      </x:c>
      <x:c r="L194" s="42" t="str">
        <x:v>Use the recorded scope. No exact video parity, full motion or real Dock preservation is implied.</x:v>
      </x:c>
    </x:row>
    <x:row r="195">
      <x:c r="A195" s="42" t="str">
        <x:v>EV-FLAT-FINAL-HOSTED</x:v>
      </x:c>
      <x:c r="B195" s="42" t="str">
        <x:v>Test log and audit</x:v>
      </x:c>
      <x:c r="C195" s="42" t="str">
        <x:v>UX-001, UX-003, PRF-004, PRF-020, PRF-034, PRF-032, MEN-007</x:v>
      </x:c>
      <x:c r="D195" s="42" t="str">
        <x:v>TR-FLAT-FINAL-HOSTED</x:v>
      </x:c>
      <x:c r="E195" s="42" t="str">
        <x:v>flat-feedback-final, macOS 26.6, ad-hoc isolated demo 2026-09-05</x:v>
      </x:c>
      <x:c r="F195" s="42" t="str">
        <x:v>artifacts/reference-editor/flat-feedback-final-build.log; artifacts/reference-editor/flat-feedback-final-hosted.log; artifacts/reference-editor/flat-feedback-final-hosted.xcresult</x:v>
      </x:c>
      <x:c r="G195" s="42" t="str">
        <x:v>Build after six-point picker backing inset, membership-only transitions and diagnostic cleanup. Refresh isolated hosted app and run all hosted suites.</x:v>
      </x:c>
      <x:c r="H195" s="52" t="n">
        <x:v>46270.492458506946</x:v>
      </x:c>
      <x:c r="I195" s="42" t="str">
        <x:v>Does this move dockit closer to a native, obvious, zero-truncation profile switcher?</x:v>
      </x:c>
      <x:c r="J195" s="42" t="str">
        <x:v>87 declared tests in seven suites pass. Both miniature Dock assets load as template images. The failing picker inset regression passes with the composed backing bounds. Build-for-testing and test execution succeed.</x:v>
      </x:c>
      <x:c r="K195" s="42" t="str">
        <x:v>Pass</x:v>
      </x:c>
      <x:c r="L195" s="42" t="str">
        <x:v>Use the recorded scope. No exact video parity, full motion or real Dock preservation is implied.</x:v>
      </x:c>
    </x:row>
    <x:row r="196">
      <x:c r="A196" s="42" t="str">
        <x:v>EV-FLAT-APPEARANCE-BOUNDED</x:v>
      </x:c>
      <x:c r="B196" s="42" t="str">
        <x:v>Actual app screenshots and bounded review</x:v>
      </x:c>
      <x:c r="C196" s="42" t="str">
        <x:v>UX-001, UX-003, PRF-004, PRF-023, PRF-029, REL-003</x:v>
      </x:c>
      <x:c r="D196" s="42" t="str">
        <x:v>TR-FLAT-APPEARANCE-BOUNDED</x:v>
      </x:c>
      <x:c r="E196" s="42" t="str">
        <x:v>flat-feedback-final, macOS 26.6, ad-hoc isolated demo 2026-09-05</x:v>
      </x:c>
      <x:c r="F196" s="42" t="str">
        <x:v>artifacts/reference-editor/qa-final-current-dock-picker-light.png; artifacts/reference-editor/qa-flat-control-color-dark.png; artifacts/reference-editor/qa-status-long-name-dark-pending.png</x:v>
      </x:c>
      <x:c r="G196" s="42" t="str">
        <x:v>Inspect actual fixed editor in light and dark. Rename to current dock. Inspect 32-W name, activate in memory and insert a regular spacer.</x:v>
      </x:c>
      <x:c r="H196" s="52" t="n">
        <x:v>46270.49245855324</x:v>
      </x:c>
      <x:c r="I196" s="42" t="str">
        <x:v>Does this move dockit closer to a native, obvious, zero-truncation profile switcher?</x:v>
      </x:c>
      <x:c r="J196" s="42" t="str">
        <x:v>Light and dark flat controlColor surfaces are reviewed. Final current dock picker fits its title, swatch and arrows with padding. The 32-W dark status capture fits current, item count and saved, not applied. That status capture precedes the final membership animation and picker inset only. No animation timing claim.</x:v>
      </x:c>
      <x:c r="K196" s="42" t="str">
        <x:v>Pass</x:v>
      </x:c>
      <x:c r="L196" s="42" t="str">
        <x:v>Use the recorded scope. No exact video parity, full motion or real Dock preservation is implied.</x:v>
      </x:c>
    </x:row>
    <x:row r="197">
      <x:c r="A197" s="42" t="str">
        <x:v>EV-NATIVE-ICON-BOUNDED</x:v>
      </x:c>
      <x:c r="B197" s="42" t="str">
        <x:v>Actual app screenshots and bounded review</x:v>
      </x:c>
      <x:c r="C197" s="42" t="str">
        <x:v>UX-002, SET-004</x:v>
      </x:c>
      <x:c r="D197" s="42" t="str">
        <x:v>TR-NATIVE-ICON-BOUNDED</x:v>
      </x:c>
      <x:c r="E197" s="42" t="str">
        <x:v>flat-feedback-final, macOS 26.6, ad-hoc isolated demo 2026-09-05</x:v>
      </x:c>
      <x:c r="F197" s="42" t="str">
        <x:v>artifacts/reference-icon-composer/scale-126/audit.json; artifacts/reference-editor/qa-native-icon-finder-info.png; artifacts/reference-editor/qa-native-icon-about-registration-dark.png</x:v>
      </x:c>
      <x:c r="G197" s="42" t="str">
        <x:v>Compare native icon package candidates. Inspect 1024, 128, 32 and 16 pixel default/dark exports, Finder information and actual about section. Retest stale about icon after exact isolated bundle refresh and registration.</x:v>
      </x:c>
      <x:c r="H197" s="52" t="n">
        <x:v>46270.49245858796</x:v>
      </x:c>
      <x:c r="I197" s="42" t="str">
        <x:v>Does this move dockit closer to a native, obvious, zero-truncation profile switcher?</x:v>
      </x:c>
      <x:c r="J197" s="42" t="str">
        <x:v>Selected 1.26 native layer scale preserves the master hash. Finder information shows full white body. First light about capture retains stale nested icon. Dark about after isolated bundle modification-time refresh and registration shows the correct single white body. Native small exports preserve a readable face and shelf. Actual system Dock capture remains unavailable.</x:v>
      </x:c>
      <x:c r="K197" s="42" t="str">
        <x:v>Pass</x:v>
      </x:c>
      <x:c r="L197" s="42" t="str">
        <x:v>Use the recorded scope. No exact video parity, full motion or real Dock preservation is implied.</x:v>
      </x:c>
    </x:row>
    <x:row r="198">
      <x:c r="A198" s="42" t="str">
        <x:v>EV-NATIVE-DRAG-FLAT-INCONCLUSIVE</x:v>
      </x:c>
      <x:c r="B198" s="42" t="str">
        <x:v>Test log and audit</x:v>
      </x:c>
      <x:c r="C198" s="42" t="str">
        <x:v>PRF-020, PRF-034, MOT-005, REL-003</x:v>
      </x:c>
      <x:c r="D198" s="42" t="str">
        <x:v>TR-NATIVE-DRAG-FLAT-INCONCLUSIVE</x:v>
      </x:c>
      <x:c r="E198" s="42" t="str">
        <x:v>flat-feedback-final, macOS 26.6, ad-hoc isolated demo 2026-09-05</x:v>
      </x:c>
      <x:c r="F198" s="42" t="str">
        <x:v>artifacts/reference-editor/qa-native-drag-trace-attempt.png; artifacts/reference-editor/flat-feedback-motion-review.md; artifacts/ui/sidebar-free/native-drag-diagnostic-audit.md</x:v>
      </x:c>
      <x:c r="G198" s="42" t="str">
        <x:v>Attempt controlled spacer and app drags through the desktop tool. Trace native callbacks in a temporary demo-only diagnostic build and compare prior stripped-down native probe results.</x:v>
      </x:c>
      <x:c r="H198" s="52" t="n">
        <x:v>46270.492458622684</x:v>
      </x:c>
      <x:c r="I198" s="42" t="str">
        <x:v>Does this move dockit closer to a native, obvious, zero-truncation profile switcher?</x:v>
      </x:c>
      <x:c r="J198" s="42" t="str">
        <x:v>Attempted drags leave stored order unchanged and do not deliver traced callbacks. The previous minimal native control probe had the same input limitation. No new transport cause, accepted-drop success or smoothness result is established. Temporary tracing is removed in the final build. Current recordings are missing.</x:v>
      </x:c>
      <x:c r="K198" s="42" t="str">
        <x:v>Blocked</x:v>
      </x:c>
      <x:c r="L198" s="42" t="str">
        <x:v>Use the recorded scope. No exact video parity, full motion or real Dock preservation is implied.</x:v>
      </x:c>
    </x:row>
    <x:row r="199">
      <x:c r="A199" s="42" t="str">
        <x:v>EV-MENUBAR-VISIBILITY-INCONCLUSIVE</x:v>
      </x:c>
      <x:c r="B199" s="42" t="str">
        <x:v>Test log and audit</x:v>
      </x:c>
      <x:c r="C199" s="42" t="str">
        <x:v>MEN-003, MEN-007, UX-002</x:v>
      </x:c>
      <x:c r="D199" s="42" t="str">
        <x:v>TR-MENUBAR-VISIBILITY-INCONCLUSIVE</x:v>
      </x:c>
      <x:c r="E199" s="42" t="str">
        <x:v>flat-feedback-final, macOS 26.6, ad-hoc isolated demo 2026-09-05</x:v>
      </x:c>
      <x:c r="F199" s="42" t="str">
        <x:v>artifacts/reference-editor/qa-settings-menubar-enabled-light.png; artifacts/reference-editor/flat-feedback-final-hosted.log</x:v>
      </x:c>
      <x:c r="G199" s="42" t="str">
        <x:v>Check isolated QA preference, settings toggle, source lifecycle and compiled assets. Review the actual screenshot boundary.</x:v>
      </x:c>
      <x:c r="H199" s="52" t="n">
        <x:v>46270.492458657405</x:v>
      </x:c>
      <x:c r="I199" s="42" t="str">
        <x:v>Does this move dockit closer to a native, obvious, zero-truncation profile switcher?</x:v>
      </x:c>
      <x:c r="J199" s="42" t="str">
        <x:v>QA preference and settings toggle are on. Coordinator retains a status item and configures its image/menu. Both template assets load in hosted tests. Captured app window excludes the system menu bar and system capture requests timed out. No creation failure or full visibility proof. Do not overwrite production preferences.</x:v>
      </x:c>
      <x:c r="K199" s="42" t="str">
        <x:v>Blocked</x:v>
      </x:c>
      <x:c r="L199" s="42" t="str">
        <x:v>Use the recorded scope. No exact video parity, full motion or real Dock preservation is implied.</x:v>
      </x:c>
    </x:row>
    <x:row r="200">
      <x:c r="A200" s="42" t="str">
        <x:v>EV-REFERENCE-COVERAGE-0751</x:v>
      </x:c>
      <x:c r="B200" s="42" t="str">
        <x:v>Test log and audit</x:v>
      </x:c>
      <x:c r="C200" s="42" t="str">
        <x:v>MOT-005, UX-003, PRF-034</x:v>
      </x:c>
      <x:c r="D200" s="42" t="str">
        <x:v>TR-REFERENCE-COVERAGE-0751</x:v>
      </x:c>
      <x:c r="E200" s="42" t="str">
        <x:v>flat-feedback-final, macOS 26.6, ad-hoc isolated demo 2026-09-05</x:v>
      </x:c>
      <x:c r="F200" s="42" t="str">
        <x:v>artifacts/video-reference/coverage.json; artifacts/video-reference/reviews/reference-frames-000391-000499.json; artifacts/video-reference/reviews/reference-frames-000541-000630.json; artifacts/video-reference/reviews/reference-frames-000631-000750.json</x:v>
      </x:c>
      <x:c r="G200" s="42" t="str">
        <x:v>Review and merge reports for original frames391..499,541..630,631..750. Preserve original timestamps and source. Validate canonical coverage.</x:v>
      </x:c>
      <x:c r="H200" s="52" t="n">
        <x:v>46270.492458692126</x:v>
      </x:c>
      <x:c r="I200" s="42" t="str">
        <x:v>Does this move dockit closer to a native, obvious, zero-truncation profile switcher?</x:v>
      </x:c>
      <x:c r="J200" s="42" t="str">
        <x:v>751 of 2374 frames are individually reviewed, contiguous 0..750. 1623 remain unreviewed. Outcomes are 30 difference, 721 notComparable, 0 match. Root reads all report observations and inspects representative originals. No matched current spacer drag recording exists; full review remains incomplete.</x:v>
      </x:c>
      <x:c r="K200" s="42" t="str">
        <x:v>Blocked</x:v>
      </x:c>
      <x:c r="L200" s="42" t="str">
        <x:v>Use the recorded scope. No exact video parity, full motion or real Dock preservation is implied.</x:v>
      </x:c>
    </x:row>
    <x:row r="201">
      <x:c r="A201" s="42" t="str">
        <x:v>EV-DARK-CONTROL-CONTRAST-RED</x:v>
      </x:c>
      <x:c r="B201" s="42" t="str">
        <x:v>Actual screenshot and pixel measurement</x:v>
      </x:c>
      <x:c r="C201" s="42" t="str">
        <x:v>UX-003, MEN-004, MEN-006, PRF-023</x:v>
      </x:c>
      <x:c r="D201" s="42" t="str">
        <x:v>TR-DARK-CONTROL-CONTRAST-RED</x:v>
      </x:c>
      <x:c r="E201" s="42" t="str"/>
      <x:c r="F201" s="42" t="str">
        <x:v>artifacts/reference-editor/qa-final-current-dock-picker-dark.png</x:v>
      </x:c>
      <x:c r="G201" s="42" t="str">
        <x:v>Active dark editor with matching flat action controls</x:v>
      </x:c>
      <x:c r="H201" s="52" t="n">
        <x:v>46270.50292165509</x:v>
      </x:c>
      <x:c r="I201" s="42" t="str">
        <x:v>Does this move dockit closer to a native, obvious, zero-truncation profile switcher?</x:v>
      </x:c>
      <x:c r="J201" s="42" t="str">
        <x:v>The layout and flat style improve, but the small white labels lack adequate contrast on the current dark action backing. Fix the backing, then recapture.</x:v>
      </x:c>
      <x:c r="K201" s="42" t="str">
        <x:v>Fail</x:v>
      </x:c>
      <x:c r="L201" s="42" t="str"/>
    </x:row>
    <x:row r="202">
      <x:c r="A202" s="42" t="str">
        <x:v>EV-MENU-LIFECYCLE-RETENTION-RED</x:v>
      </x:c>
      <x:c r="B202" s="42" t="str">
        <x:v>Hosted test log</x:v>
      </x:c>
      <x:c r="C202" s="42" t="str">
        <x:v>MEN-003, MEN-007</x:v>
      </x:c>
      <x:c r="D202" s="42" t="str">
        <x:v>TR-MENU-LIFECYCLE-RETENTION-RED</x:v>
      </x:c>
      <x:c r="E202" s="42" t="str"/>
      <x:c r="F202" s="42" t="str">
        <x:v>artifacts/reference-editor/menu-lifecycle-hosted.log</x:v>
      </x:c>
      <x:c r="G202" s="42" t="str">
        <x:v>Native item lifecycle oracle check</x:v>
      </x:c>
      <x:c r="H202" s="52" t="n">
        <x:v>46270.50515765046</x:v>
      </x:c>
      <x:c r="I202" s="42" t="str">
        <x:v>Does this establish a production menu-bar failure?</x:v>
      </x:c>
      <x:c r="J202" s="42" t="str">
        <x:v>No. It exposes an unsupported test assumption about AppKit deallocation timing. Actual menu-bar visibility remains unresolved.</x:v>
      </x:c>
      <x:c r="K202" s="42" t="str">
        <x:v>Blocked</x:v>
      </x:c>
      <x:c r="L202" s="42" t="str"/>
    </x:row>
    <x:row r="203">
      <x:c r="A203" s="42" t="str">
        <x:v>EV-DARK-CONTROL-CONTRAST-GREEN-STATUS-RED</x:v>
      </x:c>
      <x:c r="B203" s="42" t="str">
        <x:v>Actual screenshots and sRGB contrast samples</x:v>
      </x:c>
      <x:c r="C203" s="42" t="str">
        <x:v>UX-003, MEN-004, MEN-006, PRF-023</x:v>
      </x:c>
      <x:c r="D203" s="42" t="str">
        <x:v>TR-DARK-CONTROL-CONTRAST-GREEN-STATUS-RED</x:v>
      </x:c>
      <x:c r="E203" s="42" t="str"/>
      <x:c r="F203" s="42" t="str">
        <x:v>artifacts/reference-editor/qa-dark-control-contrast-active.png; artifacts/reference-editor/qa-dark-control-contrast-candidate.png</x:v>
      </x:c>
      <x:c r="G203" s="42" t="str">
        <x:v>Active and inactive dark material over different underlying surfaces</x:v>
      </x:c>
      <x:c r="H203" s="52" t="n">
        <x:v>46270.51047771991</x:v>
      </x:c>
      <x:c r="I203" s="42" t="str">
        <x:v>Does this move dockit closer to a native, obvious, zero-truncation profile switcher?</x:v>
      </x:c>
      <x:c r="J203" s="42" t="str">
        <x:v>Flat control contrast improves, but active-window status contrast still fails. Preserve the control correction and separately adjust the native dark window material.</x:v>
      </x:c>
      <x:c r="K203" s="42" t="str">
        <x:v>Fail</x:v>
      </x:c>
      <x:c r="L203" s="42" t="str"/>
    </x:row>
    <x:row r="204">
      <x:c r="A204" s="42" t="str">
        <x:v>EV-FINAL-CORE-TOOLS-REGRESSION</x:v>
      </x:c>
      <x:c r="B204" s="42" t="str">
        <x:v>Test log and bounded review</x:v>
      </x:c>
      <x:c r="C204" s="42" t="str">
        <x:v>PRF-020, PRF-027, PRF-032, PRF-034, MOT-005</x:v>
      </x:c>
      <x:c r="D204" s="42" t="str">
        <x:v>TR-FINAL-CORE-TOOLS-REGRESSION</x:v>
      </x:c>
      <x:c r="E204" s="42" t="str">
        <x:v>source 2026-09-05</x:v>
      </x:c>
      <x:c r="F204" s="42" t="str">
        <x:v>artifacts/reference-editor/flat-feedback-core-regression.log; artifacts/ledger/flat-feedback-tools-regression.log</x:v>
      </x:c>
      <x:c r="G204" s="42" t="str">
        <x:v>Run the full Swift package suite and both FeatureLedgerTests.mjs and ReferenceVideoTests.mjs.</x:v>
      </x:c>
      <x:c r="H204" s="52" t="n">
        <x:v>46270.748777546294</x:v>
      </x:c>
      <x:c r="I204" s="42" t="str">
        <x:v>Does this move dockit closer to a native, obvious, zero-truncation profile switcher?</x:v>
      </x:c>
      <x:c r="J204" s="42" t="str">
        <x:v>76 Swift Testing cases and 11 XCTest cases pass. All 20 ledger/video-tool tests pass. These are not live Dock or GUI-motion checks.</x:v>
      </x:c>
      <x:c r="K204" s="42" t="str">
        <x:v>Pass</x:v>
      </x:c>
      <x:c r="L204" s="42" t="str">
        <x:v>Automated evidence is not a complete visual or release pass.</x:v>
      </x:c>
    </x:row>
    <x:row r="205">
      <x:c r="A205" s="42" t="str">
        <x:v>EV-FINAL-KEYBOARD-GROUP-BOUNDED</x:v>
      </x:c>
      <x:c r="B205" s="42" t="str">
        <x:v>Actual screenshots and keyboard actions</x:v>
      </x:c>
      <x:c r="C205" s="42" t="str">
        <x:v>PRF-020, PRF-021, PRF-034, REL-003, UX-001</x:v>
      </x:c>
      <x:c r="D205" s="42" t="str">
        <x:v>TR-FINAL-KEYBOARD-GROUP-BOUNDED</x:v>
      </x:c>
      <x:c r="E205" s="42" t="str">
        <x:v>flat-feedback-final</x:v>
      </x:c>
      <x:c r="F205" s="42" t="str">
        <x:v>artifacts/reference-editor/qa-final-group-keyboard-light.png; artifacts/reference-editor/qa-final-group-keyboard-restored-light.png; artifacts/reference-editor/qa-final-spacer-insert-light.png</x:v>
      </x:c>
      <x:c r="G205" s="42" t="str">
        <x:v>Rename Reading to current dock, apply in memory, add a regular spacer, select Books and extend selection to Notes with Shift-Right, move with command-option-Right, repeat at boundary, and move back with command-option-Left.</x:v>
      </x:c>
      <x:c r="H205" s="52" t="n">
        <x:v>46270.74877755787</x:v>
      </x:c>
      <x:c r="I205" s="42" t="str">
        <x:v>Does this move dockit closer to a native, obvious, zero-truncation profile switcher?</x:v>
      </x:c>
      <x:c r="J205" s="42" t="str">
        <x:v>AX and screenshots show Books and Notes selected. Order changes from Books, Notes, spacer to spacer, Books, Notes. Boundary repeat changes nothing. Reverse restores the original order. The active indicator remains with current dock and saved, not applied persists.</x:v>
      </x:c>
      <x:c r="K205" s="42" t="str">
        <x:v>Pass</x:v>
      </x:c>
      <x:c r="L205" s="42" t="str">
        <x:v>Accessibility verdict is keyboard and AX only, not VoiceOver or complete accessibility. No pointer or animation timing proof.</x:v>
      </x:c>
    </x:row>
    <x:row r="206">
      <x:c r="A206" s="42" t="str">
        <x:v>EV-MENU-LIFECYCLE-GREEN</x:v>
      </x:c>
      <x:c r="B206" s="42" t="str">
        <x:v>Test log and bounded review</x:v>
      </x:c>
      <x:c r="C206" s="42" t="str">
        <x:v>MEN-003, MEN-007, UX-002</x:v>
      </x:c>
      <x:c r="D206" s="42" t="str">
        <x:v>TR-MENU-LIFECYCLE-GREEN</x:v>
      </x:c>
      <x:c r="E206" s="42" t="str">
        <x:v>contrast-lifecycle-final, macOS 26.6 isolated demo</x:v>
      </x:c>
      <x:c r="F206" s="42" t="str">
        <x:v>artifacts/reference-editor/contrast-lifecycle-final-hosted.log; artifacts/reference-editor/contrast-lifecycle-final-hosted.xcresult</x:v>
      </x:c>
      <x:c r="G206" s="42" t="str">
        <x:v>Replace unsupported native deallocation assertions with exact creation/removal callback observations. Run the complete hosted suite with both alpha-render cases.</x:v>
      </x:c>
      <x:c r="H206" s="52" t="n">
        <x:v>46270.748777569446</x:v>
      </x:c>
      <x:c r="I206" s="42" t="str">
        <x:v>Does this move dockit closer to a native, obvious, zero-truncation profile switcher?</x:v>
      </x:c>
      <x:c r="J206" s="42" t="str">
        <x:v>89 declared tests in seven suites pass. Lifecycle creation, retained use, menu updates, exact removal, repeated-hide idempotence and recreation pass. Both template assets render opaque artwork and transparent pixels. Actual system menu-bar placement is not established.</x:v>
      </x:c>
      <x:c r="K206" s="42" t="str">
        <x:v>Pass</x:v>
      </x:c>
      <x:c r="L206" s="42" t="str">
        <x:v>Public native dependencies preserve production behavior. No forced visibility, delays, user preference changes or on-screen claims.</x:v>
      </x:c>
    </x:row>
    <x:row r="207">
      <x:c r="A207" s="42" t="str">
        <x:v>EV-DARK-WINDOW-MATERIAL-PENDING</x:v>
      </x:c>
      <x:c r="B207" s="42" t="str">
        <x:v>Test log and bounded review</x:v>
      </x:c>
      <x:c r="C207" s="42" t="str">
        <x:v>UX-003, MEN-004, MEN-006, REL-003</x:v>
      </x:c>
      <x:c r="D207" s="42" t="str">
        <x:v>TR-DARK-WINDOW-MATERIAL-PENDING</x:v>
      </x:c>
      <x:c r="E207" s="42" t="str">
        <x:v>dark-ultrathick-material candidate</x:v>
      </x:c>
      <x:c r="F207" s="42" t="str">
        <x:v>artifacts/reference-editor/qa-dark-thick-material-active.png; artifacts/reference-editor/dark-ultrathick-material-build.log</x:v>
      </x:c>
      <x:c r="G207" s="42" t="str">
        <x:v>Review the shared dark thick-material candidate. Measure status contrast. Build the next native ultraThick candidate without changing light material or geometry.</x:v>
      </x:c>
      <x:c r="H207" s="52" t="n">
        <x:v>46270.748777581015</x:v>
      </x:c>
      <x:c r="I207" s="42" t="str">
        <x:v>Does this move dockit closer to a native, obvious, zero-truncation profile switcher?</x:v>
      </x:c>
      <x:c r="J207" s="42" t="str">
        <x:v>Thick material lowers captured header background to sRGB 0.463888, but brightest status text 0.886197 yields 3.49:1. That candidate does not pass. UltraThick compiles successfully. The Mac locked before its actual capture; the running isolated QA still contains the prior thick candidate.</x:v>
      </x:c>
      <x:c r="K207" s="42" t="str">
        <x:v>Blocked</x:v>
      </x:c>
      <x:c r="L207" s="42" t="str">
        <x:v>No GUI actions were attempted after the lock report. Do not claim the ultraThick candidate passes or is installed in the QA copy.</x:v>
      </x:c>
    </x:row>
    <x:row r="208">
      <x:c r="A208" s="42" t="str">
        <x:v>EV-ULTRATHICK-STATUS-RED</x:v>
      </x:c>
      <x:c r="B208" s="42" t="str">
        <x:v>Actual screenshot and pixel measurement</x:v>
      </x:c>
      <x:c r="C208" s="42" t="str">
        <x:v>UX-003, REL-003</x:v>
      </x:c>
      <x:c r="D208" s="42" t="str">
        <x:v>TR-ULTRATHICK-STATUS-RED</x:v>
      </x:c>
      <x:c r="E208" s="42" t="str">
        <x:v>dark-ultrathick-material</x:v>
      </x:c>
      <x:c r="F208" s="42" t="str">
        <x:v>artifacts/reference-editor/qa-dark-ultrathick-material-focused.png</x:v>
      </x:c>
      <x:c r="G208" s="42" t="str">
        <x:v>Focused dark status above bright Finder</x:v>
      </x:c>
      <x:c r="H208" s="52" t="n">
        <x:v>46270.85031418982</x:v>
      </x:c>
      <x:c r="I208" s="42" t="str">
        <x:v>Does this move dockit closer to a native, obvious, zero-truncation profile switcher?</x:v>
      </x:c>
      <x:c r="J208" s="42" t="str">
        <x:v>The material improves separation, but small status contrast still fails. No appearance pass is claimed.</x:v>
      </x:c>
      <x:c r="K208" s="42" t="str">
        <x:v>Fail</x:v>
      </x:c>
      <x:c r="L208" s="42" t="str"/>
    </x:row>
    <x:row r="209">
      <x:c r="A209" s="42" t="str">
        <x:v>EV-STATUS-DARK-GREEN-LIGHT-RED</x:v>
      </x:c>
      <x:c r="B209" s="42" t="str">
        <x:v>Actual captures and hosted tests</x:v>
      </x:c>
      <x:c r="C209" s="42" t="str">
        <x:v>UX-003, REL-003</x:v>
      </x:c>
      <x:c r="D209" s="42" t="str">
        <x:v>TR-STATUS-DARK-GREEN-LIGHT-RED</x:v>
      </x:c>
      <x:c r="E209" s="42" t="str">
        <x:v>dark-status-foreground</x:v>
      </x:c>
      <x:c r="F209" s="42" t="str">
        <x:v>artifacts/reference-editor/qa-dark-status-primary-focused.png; artifacts/reference-editor/qa-light-status-material-regression.png; artifacts/reference-editor/dark-status-foreground-hosted.log</x:v>
      </x:c>
      <x:c r="G209" s="42" t="str">
        <x:v>Cross-theme status contrast regression</x:v>
      </x:c>
      <x:c r="H209" s="52" t="n">
        <x:v>46270.852821168985</x:v>
      </x:c>
      <x:c r="I209" s="42" t="str">
        <x:v>Does this move dockit closer to a native, obvious, zero-truncation profile switcher?</x:v>
      </x:c>
      <x:c r="J209" s="42" t="str">
        <x:v>Dark status is readable in the tested state. Light status still needs correction. Flat equal actions and fixed preview layers remain present.</x:v>
      </x:c>
      <x:c r="K209" s="42" t="str">
        <x:v>Fail</x:v>
      </x:c>
      <x:c r="L209" s="42" t="str"/>
    </x:row>
    <x:row r="210">
      <x:c r="A210" s="42" t="str">
        <x:v>EV-STATUS-FOREGROUND-FINAL</x:v>
      </x:c>
      <x:c r="B210" s="42" t="str">
        <x:v>Actual screenshots, AX and hosted tests</x:v>
      </x:c>
      <x:c r="C210" s="42" t="str">
        <x:v>UX-003, REL-003, PRF-027, MEN-004, MEN-006</x:v>
      </x:c>
      <x:c r="D210" s="42" t="str">
        <x:v>TR-STATUS-FOREGROUND-FINAL</x:v>
      </x:c>
      <x:c r="E210" s="42" t="str">
        <x:v>status-foreground-final</x:v>
      </x:c>
      <x:c r="F210" s="42" t="str">
        <x:v>artifacts/reference-editor/qa-light-status-primary-final.png; artifacts/reference-editor/qa-dark-status-primary-final.png; artifacts/reference-editor/qa-dark-pending-status-final.png; artifacts/reference-editor/status-foreground-final-hosted.log</x:v>
      </x:c>
      <x:c r="G210" s="42" t="str">
        <x:v>Focused light, dark and pending status after small-spacer insertion</x:v>
      </x:c>
      <x:c r="H210" s="52" t="n">
        <x:v>46270.85776431713</x:v>
      </x:c>
      <x:c r="I210" s="42" t="str">
        <x:v>Does this move dockit closer to a native, obvious, zero-truncation profile switcher?</x:v>
      </x:c>
      <x:c r="J210" s="42" t="str">
        <x:v>Yes for these bounded states. Important status is readable, equal flat controls remain, and pending saved contents do not masquerade as an applied layout. Complete visual and motion parity is still unverified.</x:v>
      </x:c>
      <x:c r="K210" s="42" t="str">
        <x:v>Pass</x:v>
      </x:c>
      <x:c r="L210" s="42" t="str">
        <x:v>Actual screenshots inspected individually. Text-core samples account for the rendered material, but are not a complete appearance audit.</x:v>
      </x:c>
    </x:row>
    <x:row r="211">
      <x:c r="A211" s="42" t="str">
        <x:v>EV-REFERENCE-751-870</x:v>
      </x:c>
      <x:c r="B211" s="42" t="str">
        <x:v>Individual reference inspection</x:v>
      </x:c>
      <x:c r="C211" s="42" t="str">
        <x:v>UX-003, MOT-005, PRF-034</x:v>
      </x:c>
      <x:c r="D211" s="42" t="str">
        <x:v>TR-REFERENCE-751-870</x:v>
      </x:c>
      <x:c r="E211" s="42" t="str">
        <x:v>original reference</x:v>
      </x:c>
      <x:c r="F211" s="42" t="str">
        <x:v>artifacts/video-reference/reviews/reference-frames-000751-000870.json; artifacts/video-reference/frames/frame-000800.png; artifacts/video-reference/frames/frame-000856.png; artifacts/video-reference/coverage.json</x:v>
      </x:c>
      <x:c r="G211" s="42" t="str">
        <x:v>Spacer removal and profile menu, 12.516667 through 14.500000 seconds</x:v>
      </x:c>
      <x:c r="H211" s="52" t="n">
        <x:v>46270.85776442129</x:v>
      </x:c>
      <x:c r="I211" s="42" t="str">
        <x:v>Does this move dockit closer to a native, obvious, zero-truncation profile switcher?</x:v>
      </x:c>
      <x:c r="J211" s="42" t="str">
        <x:v>The reference behavior is documented more precisely. This does not establish current visual or motion parity.</x:v>
      </x:c>
      <x:c r="K211" s="42" t="str">
        <x:v>Blocked</x:v>
      </x:c>
      <x:c r="L211" s="42" t="str"/>
    </x:row>
    <x:row r="212">
      <x:c r="A212" s="42" t="str">
        <x:v>EV-SHARED-MENU-RUNTIME</x:v>
      </x:c>
      <x:c r="B212" s="42" t="str">
        <x:v>Actual window screenshots and native menu AX</x:v>
      </x:c>
      <x:c r="C212" s="42" t="str">
        <x:v>MEN-001, MEN-007, PRF-027, SET-001, SET-004, UX-002</x:v>
      </x:c>
      <x:c r="D212" s="42" t="str">
        <x:v>TR-SHARED-MENU-RUNTIME</x:v>
      </x:c>
      <x:c r="E212" s="42" t="str">
        <x:v>status-foreground-final</x:v>
      </x:c>
      <x:c r="F212" s="42" t="str">
        <x:v>artifacts/reference-editor/qa-shared-menu-selection-preserved.png; artifacts/reference-editor/qa-shared-menu-active-pending.png; artifacts/reference-editor/qa-shared-menu-reapplied.png; artifacts/reference-editor/qa-shared-menu-settings.png; artifacts/reference-editor/qa-shared-menu-settings-about.png; artifacts/reference-editor/qa-shared-menu-manage-return.png</x:v>
      </x:c>
      <x:c r="G212" s="42" t="str">
        <x:v>Application-menu activation, reapplication and window commands</x:v>
      </x:c>
      <x:c r="H212" s="52" t="n">
        <x:v>46270.86948755787</x:v>
      </x:c>
      <x:c r="I212" s="42" t="str">
        <x:v>Does this move dockit closer to a native, obvious, zero-truncation profile switcher?</x:v>
      </x:c>
      <x:c r="J212" s="42" t="str">
        <x:v>The actual shared commands preserve the approved selected-versus-active behavior. Pending edits can be applied from the current entry, settings stays sidebar-free and the editor retains context. Actual status-item placement remains unverified.</x:v>
      </x:c>
      <x:c r="K212" s="42" t="str">
        <x:v>Pass</x:v>
      </x:c>
      <x:c r="L212" s="42" t="str"/>
    </x:row>
    <x:row r="213">
      <x:c r="A213" s="42" t="str">
        <x:v>EV-RECOVERY-INPUT-INTERRUPTED</x:v>
      </x:c>
      <x:c r="B213" s="42" t="str">
        <x:v>Excluded interrupted GUI observation</x:v>
      </x:c>
      <x:c r="C213" s="42" t="str">
        <x:v>REL-001, REL-003, PRF-027</x:v>
      </x:c>
      <x:c r="D213" s="42" t="str">
        <x:v>TR-RECOVERY-INPUT-INTERRUPTED</x:v>
      </x:c>
      <x:c r="E213" s="42" t="str">
        <x:v>status-foreground-final</x:v>
      </x:c>
      <x:c r="F213" s="42" t="str">
        <x:v>artifacts/reference-editor/qa-shared-menu-failure-before.png; artifacts/reference-editor/qa-shared-menu-failure-alert.png; artifacts/reference-editor/qa-shared-menu-failure-interrupted-state.png</x:v>
      </x:c>
      <x:c r="G213" s="42" t="str">
        <x:v>Input interruption during alert dismissal</x:v>
      </x:c>
      <x:c r="H213" s="52" t="n">
        <x:v>46270.869487592594</x:v>
      </x:c>
      <x:c r="I213" s="42" t="str">
        <x:v>Does this move dockit closer to a native, obvious, zero-truncation profile switcher?</x:v>
      </x:c>
      <x:c r="J213" s="42" t="str">
        <x:v>This identifies an unreliable observation interval that must not support a pass or product-bug claim.</x:v>
      </x:c>
      <x:c r="K213" s="42" t="str">
        <x:v>Blocked</x:v>
      </x:c>
      <x:c r="L213" s="42" t="str"/>
    </x:row>
    <x:row r="214">
      <x:c r="A214" s="42" t="str">
        <x:v>EV-RECOVERY-DISMISSAL-REGRESSION</x:v>
      </x:c>
      <x:c r="B214" s="42" t="str">
        <x:v>Controlled screenshots and regression tests</x:v>
      </x:c>
      <x:c r="C214" s="42" t="str">
        <x:v>REL-001, REL-003, PRF-027, PRF-032</x:v>
      </x:c>
      <x:c r="D214" s="42" t="str">
        <x:v>TR-RECOVERY-DISMISSAL-REGRESSION</x:v>
      </x:c>
      <x:c r="E214" s="42" t="str">
        <x:v>menu-recovery-regression</x:v>
      </x:c>
      <x:c r="F214" s="42" t="str">
        <x:v>artifacts/reference-editor/qa-recovery-repeat-before.png; artifacts/reference-editor/qa-recovery-repeat-alert.png; artifacts/reference-editor/qa-recovery-repeat-after.png; artifacts/reference-editor/menu-recovery-regression-hosted.log; Tests/DockitAppTests/AppModelTests.swift</x:v>
      </x:c>
      <x:c r="G214" s="42" t="str">
        <x:v>Preserve pending edits through failed activation and alert dismissal</x:v>
      </x:c>
      <x:c r="H214" s="52" t="n">
        <x:v>46270.86948763889</x:v>
      </x:c>
      <x:c r="I214" s="42" t="str">
        <x:v>Does this move dockit closer to a native, obvious, zero-truncation profile switcher?</x:v>
      </x:c>
      <x:c r="J214" s="42" t="str">
        <x:v>The controlled repeat and both regression tests preserve the expected pending state. The actual alert wraps its explanation without overflow. This is not proof of real Dock rollback or animation timing.</x:v>
      </x:c>
      <x:c r="K214" s="42" t="str">
        <x:v>Pass</x:v>
      </x:c>
      <x:c r="L214" s="42" t="str"/>
    </x:row>
    <x:row r="215">
      <x:c r="A215" s="42" t="str">
        <x:v>EV-REFERENCE-871-990</x:v>
      </x:c>
      <x:c r="B215" s="42" t="str">
        <x:v>Individual original-frame review</x:v>
      </x:c>
      <x:c r="C215" s="42" t="str">
        <x:v>UX-003, MOT-005, PRF-034</x:v>
      </x:c>
      <x:c r="D215" s="42" t="str">
        <x:v>TR-REFERENCE-871-990</x:v>
      </x:c>
      <x:c r="E215" s="42" t="str">
        <x:v>original reference</x:v>
      </x:c>
      <x:c r="F215" s="42" t="str">
        <x:v>artifacts/video-reference/reviews/reference-frames-000871-000990.json; artifacts/video-reference/frames/extraction-000871-000990.json; artifacts/video-reference/annotations.json; artifacts/video-reference/coverage.json</x:v>
      </x:c>
      <x:c r="G215" s="42" t="str">
        <x:v>Profile menu highlighting and Personal inspection transition</x:v>
      </x:c>
      <x:c r="H215" s="52" t="n">
        <x:v>46270.880618483796</x:v>
      </x:c>
      <x:c r="I215" s="42" t="str">
        <x:v>Does this move dockit closer to a native, obvious, zero-truncation profile switcher?</x:v>
      </x:c>
      <x:c r="J215" s="42" t="str">
        <x:v>It provides individually inspected reference states and avoids treating camera framing or unsettled status text as verified app behavior. Matched current recordings are still required.</x:v>
      </x:c>
      <x:c r="K215" s="42" t="str">
        <x:v>Not run</x:v>
      </x:c>
      <x:c r="L215" s="42" t="str"/>
    </x:row>
    <x:row r="216">
      <x:c r="A216" s="42" t="str">
        <x:v>EV-NATIVE-RECORDING-PROBE</x:v>
      </x:c>
      <x:c r="B216" s="42" t="str">
        <x:v>Native capture probe and post-probe screenshot</x:v>
      </x:c>
      <x:c r="C216" s="42" t="str">
        <x:v>MOT-005, UX-003</x:v>
      </x:c>
      <x:c r="D216" s="42" t="str">
        <x:v>TR-NATIVE-RECORDING-PROBE</x:v>
      </x:c>
      <x:c r="E216" s="42" t="str">
        <x:v>menu-recovery-regression source</x:v>
      </x:c>
      <x:c r="F216" s="42" t="str">
        <x:v>artifacts/reference-editor/qa-post-recorder-light.png; artifacts/ui/reference-editor-work.md</x:v>
      </x:c>
      <x:c r="G216" s="42" t="str">
        <x:v>Native recording feasibility and editor state after dismissal</x:v>
      </x:c>
      <x:c r="H216" s="52" t="n">
        <x:v>46270.88061854167</x:v>
      </x:c>
      <x:c r="I216" s="42" t="str">
        <x:v>Does this move dockit closer to a native, obvious, zero-truncation profile switcher?</x:v>
      </x:c>
      <x:c r="J216" s="42" t="str">
        <x:v>The focused still shows the intended flat surfaces, consistent green swatches and no Reading overflow. It does not establish animation quality. No recording was accepted.</x:v>
      </x:c>
      <x:c r="K216" s="42" t="str">
        <x:v>Blocked</x:v>
      </x:c>
      <x:c r="L216" s="42" t="str"/>
    </x:row>
    <x:row r="217">
      <x:c r="A217" s="42" t="str">
        <x:v>EV-DETAILS-KEYBOARD-RED</x:v>
      </x:c>
      <x:c r="B217" s="42" t="str">
        <x:v>Actual keyboard interaction and screenshots</x:v>
      </x:c>
      <x:c r="C217" s="42" t="str">
        <x:v>PRF-034, MEN-004, UX-003</x:v>
      </x:c>
      <x:c r="D217" s="42" t="str">
        <x:v>TR-DETAILS-KEYBOARD-RED</x:v>
      </x:c>
      <x:c r="E217" s="42" t="str">
        <x:v>menu-recovery-regression</x:v>
      </x:c>
      <x:c r="F217" s="42" t="str">
        <x:v>artifacts/reference-editor/qa-keyboard-range-selection.png; artifacts/reference-editor/qa-keyboard-reorder.png; artifacts/reference-editor/qa-keyboard-details-open.png; artifacts/reference-editor/qa-keyboard-details-help.png; artifacts/reference-editor/qa-keyboard-details-focus-offscreen.png; artifacts/reference-editor/qa-keyboard-details-row-focus.png</x:v>
      </x:c>
      <x:c r="G217" s="42" t="str">
        <x:v>Preview keyboard path passes, advertised details shortcuts fail</x:v>
      </x:c>
      <x:c r="H217" s="52" t="n">
        <x:v>46270.884268368056</x:v>
      </x:c>
      <x:c r="I217" s="42" t="str">
        <x:v>Does this move dockit closer to a native, obvious, zero-truncation profile switcher?</x:v>
      </x:c>
      <x:c r="J217" s="42" t="str">
        <x:v>The preview's selected and focused treatments are distinct and keyboard reorder works. The details sheet cannot yet deliver its advertised keyboard editing behavior. Its scrollable content is reachable by pointer, which does not replace keyboard access.</x:v>
      </x:c>
      <x:c r="K217" s="42" t="str">
        <x:v>Fail</x:v>
      </x:c>
      <x:c r="L217" s="42" t="str"/>
    </x:row>
    <x:row r="218">
      <x:c r="A218" s="42" t="str">
        <x:v>EV-DETAILS-FOCUS-SCROLL-RED</x:v>
      </x:c>
      <x:c r="B218" s="42" t="str">
        <x:v>Same-surface keyboard retest and offscreen focus screenshot</x:v>
      </x:c>
      <x:c r="C218" s="42" t="str">
        <x:v>PRF-034, MEN-004, UX-003</x:v>
      </x:c>
      <x:c r="D218" s="42" t="str">
        <x:v>TR-DETAILS-FOCUS-SCROLL-RED</x:v>
      </x:c>
      <x:c r="E218" s="42" t="str">
        <x:v>details-focus</x:v>
      </x:c>
      <x:c r="F218" s="42" t="str">
        <x:v>artifacts/reference-editor/qa-details-focus-candidate-arrow.png; artifacts/reference-editor/qa-details-focus-candidate-reorder.png; artifacts/reference-editor/qa-details-focus-native-scroll.png; artifacts/reference-editor/details-focus-hosted.log</x:v>
      </x:c>
      <x:c r="G218" s="42" t="str">
        <x:v>Keyboard input works but focus can move outside the visible sheet</x:v>
      </x:c>
      <x:c r="H218" s="52" t="n">
        <x:v>46270.88683876157</x:v>
      </x:c>
      <x:c r="I218" s="42" t="str">
        <x:v>Does this move dockit closer to a native, obvious, zero-truncation profile switcher?</x:v>
      </x:c>
      <x:c r="J218" s="42" t="str">
        <x:v>Keyboard editing now works. A focused row can still be hidden behind the scrolling viewport, so this is not an accessibility pass.</x:v>
      </x:c>
      <x:c r="K218" s="42" t="str">
        <x:v>Fail</x:v>
      </x:c>
      <x:c r="L218" s="42" t="str"/>
    </x:row>
    <x:row r="219">
      <x:c r="A219" s="42" t="str">
        <x:v>EV-DETAILS-REORDER-SCROLL-RED</x:v>
      </x:c>
      <x:c r="B219" s="42" t="str">
        <x:v>Actual light success and dark repeated-reorder failure captures</x:v>
      </x:c>
      <x:c r="C219" s="42" t="str">
        <x:v>PRF-034, MEN-004, UX-003</x:v>
      </x:c>
      <x:c r="D219" s="42" t="str">
        <x:v>TR-DETAILS-REORDER-SCROLL-RED</x:v>
      </x:c>
      <x:c r="E219" s="42" t="str">
        <x:v>details-focus-scroll</x:v>
      </x:c>
      <x:c r="F219" s="42" t="str">
        <x:v>artifacts/reference-editor/qa-details-light-focus-visible.png; artifacts/reference-editor/qa-details-light-reorder-final.png; artifacts/reference-editor/qa-details-light-path-final.png; artifacts/reference-editor/qa-details-dark-reorder-visibility.png; artifacts/reference-editor/qa-details-dark-reorder-offscreen.png</x:v>
      </x:c>
      <x:c r="G219" s="42" t="str">
        <x:v>Focus changes reveal rows; repeated reorder can hide the unchanged focused ID</x:v>
      </x:c>
      <x:c r="H219" s="52" t="n">
        <x:v>46270.890225069445</x:v>
      </x:c>
      <x:c r="I219" s="42" t="str">
        <x:v>Does this move dockit closer to a native, obvious, zero-truncation profile switcher?</x:v>
      </x:c>
      <x:c r="J219" s="42" t="str">
        <x:v>The first visibility correction works for navigation. Reorder still hides the item the keyboard user is editing, so the fix is incomplete.</x:v>
      </x:c>
      <x:c r="K219" s="42" t="str">
        <x:v>Fail</x:v>
      </x:c>
      <x:c r="L219" s="42" t="str"/>
    </x:row>
    <x:row r="220">
      <x:c r="A220" s="42" t="str">
        <x:v>EV-DETAILS-KEYBOARD-FINAL</x:v>
      </x:c>
      <x:c r="B220" s="42" t="str">
        <x:v>Same-surface keyboard fix and cross-theme regression screenshots</x:v>
      </x:c>
      <x:c r="C220" s="42" t="str">
        <x:v>PRF-034, MEN-004, UX-003, PRF-027</x:v>
      </x:c>
      <x:c r="D220" s="42" t="str">
        <x:v>TR-DETAILS-KEYBOARD-FINAL</x:v>
      </x:c>
      <x:c r="E220" s="42" t="str">
        <x:v>details-order-scroll</x:v>
      </x:c>
      <x:c r="F220" s="42" t="str">
        <x:v>artifacts/reference-editor/qa-details-dark-reorder-visible-final.png; artifacts/reference-editor/qa-details-dark-group-reorder-final.png; artifacts/reference-editor/qa-details-dark-return-editor-final.png; artifacts/reference-editor/qa-details-light-order-visible-final.png; artifacts/reference-editor/qa-details-light-select-all-final.png; artifacts/reference-editor/details-order-scroll-hosted.log; Sources/Dockit/DockDetailsView.swift</x:v>
      </x:c>
      <x:c r="G220" s="42" t="str">
        <x:v>Details keyboard focus, native visibility and preserved editor edits</x:v>
      </x:c>
      <x:c r="H220" s="52" t="n">
        <x:v>46270.89567592592</x:v>
      </x:c>
      <x:c r="I220" s="42" t="str">
        <x:v>Does this move dockit closer to a native, obvious, zero-truncation profile switcher?</x:v>
      </x:c>
      <x:c r="J220" s="42" t="str">
        <x:v>Yes for this bounded fix. Keyboard users can now edit in details and see the item they are acting on. The final light and dark captures keep the native focus treatment visible. Returning to the fixed editor preserves saved edits and selected items. No added animation or timer is involved.</x:v>
      </x:c>
      <x:c r="K220" s="42" t="str">
        <x:v>Pass</x:v>
      </x:c>
      <x:c r="L220" s="42" t="str"/>
    </x:row>
    <x:row r="221">
      <x:c r="A221" s="42" t="str">
        <x:v>EV-REFERENCE-991-1110</x:v>
      </x:c>
      <x:c r="B221" s="42" t="str">
        <x:v>Individual original-frame observations and validated extraction</x:v>
      </x:c>
      <x:c r="C221" s="42" t="str">
        <x:v>UX-003, MOT-005, PRF-034</x:v>
      </x:c>
      <x:c r="D221" s="42" t="str">
        <x:v>TR-REFERENCE-991-1110</x:v>
      </x:c>
      <x:c r="E221" s="42" t="str">
        <x:v>original recording</x:v>
      </x:c>
      <x:c r="F221" s="42" t="str">
        <x:v>artifacts/video-reference/reviews/reference-frames-000991-001110.json; artifacts/video-reference/frames-000991-001110/extraction-000991-001110.json; artifacts/video-reference/annotations.json; artifacts/video-reference/coverage.json</x:v>
      </x:c>
      <x:c r="G221" s="42" t="str">
        <x:v>Personal status settles and profile menu fades over unchanged preview</x:v>
      </x:c>
      <x:c r="H221" s="52" t="n">
        <x:v>46270.89567618055</x:v>
      </x:c>
      <x:c r="I221" s="42" t="str">
        <x:v>Does this move dockit closer to a native, obvious, zero-truncation profile switcher?</x:v>
      </x:c>
      <x:c r="J221" s="42" t="str">
        <x:v>The review preserves exact state boundaries and distinguishes menu highlighting from completed selection or activation. No equivalent current recording exists for this range, so parity is not established.</x:v>
      </x:c>
      <x:c r="K221" s="42" t="str">
        <x:v>Not run</x:v>
      </x:c>
      <x:c r="L221" s="42" t="str"/>
    </x:row>
    <x:row r="222">
      <x:c r="A222" s="42" t="str">
        <x:v>EV-LIBRARY-PERMISSION-SAVE-RED</x:v>
      </x:c>
      <x:c r="B222" s="42" t="str">
        <x:v>Injected filesystem failure regression</x:v>
      </x:c>
      <x:c r="C222" s="42" t="str">
        <x:v>PRV-001, PRF-027, REL-001</x:v>
      </x:c>
      <x:c r="D222" s="42" t="str">
        <x:v>TR-LIBRARY-PERMISSION-SAVE-RED</x:v>
      </x:c>
      <x:c r="E222" s="42" t="str">
        <x:v>current DockLibraryStore before correction</x:v>
      </x:c>
      <x:c r="F222" s="42" t="str">
        <x:v>artifacts/reference-editor/library-permission-save-red.log; Tests/DockitCoreTests/DockLibraryStoreFailureTests.swift; Sources/DockitCore/DockLibraryStore.swift</x:v>
      </x:c>
      <x:c r="G222" s="42" t="str">
        <x:v>Failure after atomic data replacement contradicts unchanged-file error contract</x:v>
      </x:c>
      <x:c r="H222" s="52" t="n">
        <x:v>46270.8990515625</x:v>
      </x:c>
      <x:c r="I222" s="42" t="str">
        <x:v>Does this move dockit closer to a native, obvious, zero-truncation profile switcher?</x:v>
      </x:c>
      <x:c r="J222" s="42" t="str">
        <x:v>It identifies a concrete persistence defect before claiming failed saves are safe. This is a filesystem contract test, not visual evidence.</x:v>
      </x:c>
      <x:c r="K222" s="42" t="str">
        <x:v>Fail</x:v>
      </x:c>
      <x:c r="L222" s="42" t="str"/>
    </x:row>
    <x:row r="223">
      <x:c r="A223" s="42" t="str">
        <x:v>EV-LIBRARY-ATOMIC-SAVE-FINAL</x:v>
      </x:c>
      <x:c r="B223" s="42" t="str">
        <x:v>Filesystem regression and build</x:v>
      </x:c>
      <x:c r="C223" s="42" t="str">
        <x:v>PRV-001, PRF-027, REL-001</x:v>
      </x:c>
      <x:c r="D223" s="42" t="str">
        <x:v>TR-LIBRARY-ATOMIC-SAVE-FINAL</x:v>
      </x:c>
      <x:c r="E223" s="42" t="str"/>
      <x:c r="F223" s="42" t="str">
        <x:v>artifacts/reference-editor/library-atomic-save-core-final.log; artifacts/reference-editor/library-atomic-save-build.log; artifacts/reference-editor/library-save-design.md; Tests/DockitCoreTests/DockLibraryStoreFailureTests.swift; Sources/DockitCore/DockLibraryStore.swift</x:v>
      </x:c>
      <x:c r="G223" s="42" t="str">
        <x:v>Prepare permissions before one commit and keep cleanup nonthrowing</x:v>
      </x:c>
      <x:c r="H223" s="52" t="n">
        <x:v>46270.924788425924</x:v>
      </x:c>
      <x:c r="I223" s="42" t="str">
        <x:v>Does this move dockit closer to a native, obvious, zero-truncation profile switcher?</x:v>
      </x:c>
      <x:c r="J223" s="42" t="str">
        <x:v>It corrects a proven persistence contract defect without changing the UI. No visual, live drag or recovery claim follows from the core tests.</x:v>
      </x:c>
      <x:c r="K223" s="42" t="str">
        <x:v>Pass</x:v>
      </x:c>
      <x:c r="L223" s="42" t="str"/>
    </x:row>
    <x:row r="224">
      <x:c r="A224" s="42" t="str">
        <x:v>EV-LIVE-ICON-MENU-DESKTOP</x:v>
      </x:c>
      <x:c r="B224" s="42" t="str">
        <x:v>Native desktop screenshot and compiled asset</x:v>
      </x:c>
      <x:c r="C224" s="42" t="str">
        <x:v>UX-002, MEN-007, UX-003</x:v>
      </x:c>
      <x:c r="D224" s="42" t="str">
        <x:v>TR-LIVE-ICON-MENU-DESKTOP</x:v>
      </x:c>
      <x:c r="E224" s="42" t="str"/>
      <x:c r="F224" s="42" t="str">
        <x:v>artifacts/reference-editor/qa-desktop-icon-menu-live.png; artifacts/reference-editor/compiled-qa-icns.png</x:v>
      </x:c>
      <x:c r="G224" s="42" t="str">
        <x:v>Actual desktop icon and missing status item contradict asset-only completion</x:v>
      </x:c>
      <x:c r="H224" s="52" t="n">
        <x:v>46270.92478849537</x:v>
      </x:c>
      <x:c r="I224" s="42" t="str">
        <x:v>Does this move dockit closer to a native, obvious, zero-truncation profile switcher?</x:v>
      </x:c>
      <x:c r="J224" s="42" t="str">
        <x:v>This capture identifies unresolved delivery defects. The compiled asset is not sufficient proof of the actual Dock result, and status-item lifecycle tests are not sufficient proof of visible placement.</x:v>
      </x:c>
      <x:c r="K224" s="42" t="str">
        <x:v>Fail</x:v>
      </x:c>
      <x:c r="L224" s="42" t="str"/>
    </x:row>
    <x:row r="225">
      <x:c r="A225" s="42" t="str">
        <x:v>EV-REFERENCE-FRAMES-1111-1230</x:v>
      </x:c>
      <x:c r="B225" s="42" t="str">
        <x:v>Individual reference-frame review</x:v>
      </x:c>
      <x:c r="C225" s="42" t="str">
        <x:v>MOT-005, UX-003, PRF-034</x:v>
      </x:c>
      <x:c r="D225" s="42" t="str">
        <x:v>TR-REFERENCE-FRAMES-1111-1230</x:v>
      </x:c>
      <x:c r="E225" s="42" t="str"/>
      <x:c r="F225" s="42" t="str">
        <x:v>artifacts/video-reference/reviews/reference-frames-001111-001230.json; artifacts/video-reference/coverage.json</x:v>
      </x:c>
      <x:c r="G225" s="42" t="str"/>
      <x:c r="H225" s="52" t="n">
        <x:v>46270.92478857639</x:v>
      </x:c>
      <x:c r="I225" s="42" t="str">
        <x:v>Does this move dockit closer to a native, obvious, zero-truncation profile switcher?</x:v>
      </x:c>
      <x:c r="J225" s="42" t="str">
        <x:v>It establishes reference timing and geometry while retaining the approved fixed-size editor difference. It does not verify current-app motion.</x:v>
      </x:c>
      <x:c r="K225" s="42" t="str">
        <x:v>Not run</x:v>
      </x:c>
      <x:c r="L225" s="42" t="str"/>
    </x:row>
    <x:row r="226">
      <x:c r="A226" s="42" t="str">
        <x:v>EV-POINTER-DRAG-READING-RED</x:v>
      </x:c>
      <x:c r="B226" s="42" t="str">
        <x:v>Live pointer attempts with before and after captures</x:v>
      </x:c>
      <x:c r="C226" s="42" t="str">
        <x:v>PRF-034, MOT-005</x:v>
      </x:c>
      <x:c r="D226" s="42" t="str">
        <x:v>TR-POINTER-DRAG-READING-RED</x:v>
      </x:c>
      <x:c r="E226" s="42"/>
      <x:c r="F226" s="42" t="str">
        <x:v>artifacts/reference-editor/qa-pointer-single-before.png; artifacts/reference-editor/qa-pointer-single-after.png; artifacts/reference-editor/qa-pointer-reverse-after.png</x:v>
      </x:c>
      <x:c r="G226" s="42" t="str">
        <x:v>Both pointer directions retain the original Books then Notes order</x:v>
      </x:c>
      <x:c r="H226" s="52" t="n">
        <x:v>46270.92648100694</x:v>
      </x:c>
      <x:c r="I226" s="42" t="str">
        <x:v>Does this move dockit closer to a native, obvious, zero-truncation profile switcher?</x:v>
      </x:c>
      <x:c r="J226" s="42" t="str">
        <x:v>The editor is readable, but the attempted core interaction does not produce its expected result. This is a failed bounded live check, not proof of the specific root cause or animation quality.</x:v>
      </x:c>
      <x:c r="K226" s="42" t="str">
        <x:v>Fail</x:v>
      </x:c>
      <x:c r="L226" s="42"/>
    </x:row>
    <x:row r="227">
      <x:c r="A227" s="42" t="str">
        <x:v>EV-LIBRARY-ATOMIC-SAVE-HOSTED</x:v>
      </x:c>
      <x:c r="B227" s="42" t="str">
        <x:v>Complete hosted regression</x:v>
      </x:c>
      <x:c r="C227" s="42" t="str">
        <x:v>PRV-001, PRF-027, PRF-034, REL-001</x:v>
      </x:c>
      <x:c r="D227" s="42" t="str">
        <x:v>TR-LIBRARY-ATOMIC-SAVE-HOSTED</x:v>
      </x:c>
      <x:c r="E227" s="42" t="str"/>
      <x:c r="F227" s="42" t="str">
        <x:v>artifacts/reference-editor/library-atomic-save-hosted.log; artifacts/reference-editor/library-atomic-save-hosted.xcresult</x:v>
      </x:c>
      <x:c r="G227" s="42" t="str">
        <x:v>App-model integration after the atomic-save correction</x:v>
      </x:c>
      <x:c r="H227" s="52" t="n">
        <x:v>46270.95471873842</x:v>
      </x:c>
      <x:c r="I227" s="42" t="str">
        <x:v>Does this move dockit closer to a native, obvious, zero-truncation profile switcher?</x:v>
      </x:c>
      <x:c r="J227" s="42" t="str">
        <x:v>The application regressions now pass with the corrected persistence boundary. They do not resolve live drag, icon delivery, appearance or motion gates.</x:v>
      </x:c>
      <x:c r="K227" s="42" t="str">
        <x:v>Pass</x:v>
      </x:c>
      <x:c r="L227" s="42" t="str"/>
    </x:row>
    <x:row r="228">
      <x:c r="A228" s="42" t="str">
        <x:v>EV-FRESH-ICON-SYSTEM-MENU-BLOCK</x:v>
      </x:c>
      <x:c r="B228" s="42" t="str">
        <x:v>Actual desktop captures and system host diagnosis</x:v>
      </x:c>
      <x:c r="C228" s="42" t="str">
        <x:v>UX-002, MEN-007, MEN-006, UX-003</x:v>
      </x:c>
      <x:c r="D228" s="42" t="str">
        <x:v>TR-FRESH-ICON-SYSTEM-MENU-BLOCK</x:v>
      </x:c>
      <x:c r="E228" s="42"/>
      <x:c r="F228" s="42" t="str">
        <x:v>artifacts/reference-editor/Screenshot 2026-09-05 at 5.56.41 PM.png; artifacts/reference-editor/Screenshot 2026-09-05 at 5.59.52 PM.png; artifacts/reference-editor/qa-fresh-menu-probe-dark.png; artifacts/reference-editor/menu-status-at-launch.json; artifacts/reference-editor/menu-status-after-recreate.json; artifacts/reference-editor/menu-status-late-refresh.json; artifacts/reference-editor/menu-status-controlcenter-blocked.log</x:v>
      </x:c>
      <x:c r="G228" s="42" t="str">
        <x:v>Distinguish asset rendering from installed identity and system menu allowance</x:v>
      </x:c>
      <x:c r="H228" s="52" t="n">
        <x:v>46270.98841269676</x:v>
      </x:c>
      <x:c r="I228" s="42" t="str">
        <x:v>Does this move dockit closer to a native, obvious, zero-truncation profile switcher?</x:v>
      </x:c>
      <x:c r="J228" s="42" t="str">
        <x:v>It verifies the approved icon on a fresh real Dock identity and identifies system host blocking for the missing status item. The dark editor keeps readable status and matching flat controls. Original installation, visible menu behavior, live appearance adaptation and smoothness still need evidence.</x:v>
      </x:c>
      <x:c r="K228" s="42" t="str">
        <x:v>Fail</x:v>
      </x:c>
      <x:c r="L228" s="42"/>
    </x:row>
    <x:row r="229">
      <x:c r="A229" s="42" t="str">
        <x:v>EV-APPEARANCE-ADAPTATION-HOST-SETUP</x:v>
      </x:c>
      <x:c r="B229" s="42" t="str">
        <x:v>Hosted test setup failure</x:v>
      </x:c>
      <x:c r="C229" s="42" t="str">
        <x:v>MEN-006, UX-003</x:v>
      </x:c>
      <x:c r="D229" s="42" t="str">
        <x:v>TR-APPEARANCE-ADAPTATION-HOST-SETUP</x:v>
      </x:c>
      <x:c r="E229" s="42" t="str"/>
      <x:c r="F229" s="42" t="str">
        <x:v>artifacts/reference-editor/appearance-adaptation-hosted.log; artifacts/reference-editor/appearance-adaptation-hosted.xcresult</x:v>
      </x:c>
      <x:c r="G229" s="42" t="str"/>
      <x:c r="H229" s="52" t="n">
        <x:v>46270.99364709491</x:v>
      </x:c>
      <x:c r="I229" s="42" t="str">
        <x:v>Does this move dockit closer to a native, obvious, zero-truncation profile switcher?</x:v>
      </x:c>
      <x:c r="J229" s="42" t="str">
        <x:v>It identifies a fixture boundary before making unsupported production changes. No appearance pass or defect is established.</x:v>
      </x:c>
      <x:c r="K229" s="42" t="str">
        <x:v>Fail</x:v>
      </x:c>
      <x:c r="L229" s="42" t="str"/>
    </x:row>
    <x:row r="230">
      <x:c r="A230" s="42" t="str">
        <x:v>EV-APPEARANCE-PICKER-STALE-RED</x:v>
      </x:c>
      <x:c r="B230" s="42" t="str">
        <x:v>Same-instance appearance pixel regression</x:v>
      </x:c>
      <x:c r="C230" s="42" t="str">
        <x:v>MEN-006, UX-003</x:v>
      </x:c>
      <x:c r="D230" s="42" t="str">
        <x:v>TR-APPEARANCE-PICKER-STALE-RED</x:v>
      </x:c>
      <x:c r="E230" s="42"/>
      <x:c r="F230" s="42" t="str">
        <x:v>artifacts/reference-editor/appearance-adaptation-adapter-hosted.log; artifacts/reference-editor/appearance-adaptation-adapter-hosted.xcresult</x:v>
      </x:c>
      <x:c r="G230" s="42"/>
      <x:c r="H230" s="52" t="n">
        <x:v>46270.99541087963</x:v>
      </x:c>
      <x:c r="I230" s="42" t="str">
        <x:v>Does this move dockit closer to a native, obvious, zero-truncation profile switcher?</x:v>
      </x:c>
      <x:c r="J230" s="42" t="str">
        <x:v>It isolates a stale displayed swatch from correctly refreshed menus. The failure is recorded before the repair and does not substitute for full-window screenshots or live system settings.</x:v>
      </x:c>
      <x:c r="K230" s="42" t="str">
        <x:v>Fail</x:v>
      </x:c>
      <x:c r="L230" s="42"/>
    </x:row>
    <x:row r="231">
      <x:c r="A231" s="42" t="str">
        <x:v>EV-APPEARANCE-PICKER-FIXED</x:v>
      </x:c>
      <x:c r="B231" s="42" t="str">
        <x:v>Red-green pixel regression, full hosted suite and foreground theme captures</x:v>
      </x:c>
      <x:c r="C231" s="42" t="str">
        <x:v>MEN-006, UX-003, MEN-007</x:v>
      </x:c>
      <x:c r="D231" s="42" t="str">
        <x:v>TR-APPEARANCE-PICKER-FIXED</x:v>
      </x:c>
      <x:c r="E231" s="42"/>
      <x:c r="F231" s="42" t="str">
        <x:v>artifacts/reference-editor/appearance-adaptation-fixed-hosted.log; artifacts/reference-editor/appearance-adaptation-full-hosted.log; artifacts/reference-editor/appearance-adaptation-full-hosted.xcresult; artifacts/reference-editor/appearance-adaptation-fixed-build.log; artifacts/reference-editor/appearance-adaptation-fixed-rebuild.log; artifacts/reference-editor/qa-appearance-adaptation-dark-front.png; artifacts/reference-editor/qa-appearance-adaptation-light-front.png</x:v>
      </x:c>
      <x:c r="G231" s="42"/>
      <x:c r="H231" s="52" t="n">
        <x:v>46271.00178560185</x:v>
      </x:c>
      <x:c r="I231" s="42" t="str">
        <x:v>Does this move dockit closer to a native, obvious, zero-truncation profile switcher?</x:v>
      </x:c>
      <x:c r="J231" s="42" t="str">
        <x:v>Yes. Appearance changes now explicitly refresh the closed picker without altering saved profiles. Both foreground captures preserve complete labels, neutral controls and theme-appropriate identity backing. Full toolbar runtime switching, accessibility settings and motion still need their own checks.</x:v>
      </x:c>
      <x:c r="K231" s="42" t="str">
        <x:v>Pass</x:v>
      </x:c>
      <x:c r="L231" s="42"/>
    </x:row>
    <x:row r="232">
      <x:c r="A232" s="42" t="str">
        <x:v>EV-INTERACTIVE-RECOVERY-SETUP-RED</x:v>
      </x:c>
      <x:c r="B232" s="42" t="str">
        <x:v>Test routing and permission-boundary diagnostics</x:v>
      </x:c>
      <x:c r="C232" s="42" t="str">
        <x:v>PRV-001, PRF-027, REL-001</x:v>
      </x:c>
      <x:c r="D232" s="42" t="str">
        <x:v>TR-INTERACTIVE-RECOVERY-SETUP-RED</x:v>
      </x:c>
      <x:c r="E232" s="42" t="str"/>
      <x:c r="F232" s="42" t="str">
        <x:v>artifacts/reference-editor/interactive-recovery-light.log; artifacts/reference-editor/interactive-recovery-setup-failure/state.json; artifacts/reference-editor/interactive-recovery-setup-failure/before-light.png; artifacts/reference-editor/interactive-recovery-stop-sample.txt; artifacts/reference-editor/interactive-recovery-tcc-read.log</x:v>
      </x:c>
      <x:c r="G232" s="42" t="str"/>
      <x:c r="H232" s="52" t="n">
        <x:v>46271.01521111111</x:v>
      </x:c>
      <x:c r="I232" s="42" t="str">
        <x:v>Does this move dockit closer to a native, obvious, zero-truncation profile switcher?</x:v>
      </x:c>
      <x:c r="J232" s="42" t="str">
        <x:v>It identifies why the recovery test did not reach the intended window, and removes an unnecessary permission demand from the next fixture. The screenshot shows the unrelated ordinary demo and is excluded from recovery verdicts.</x:v>
      </x:c>
      <x:c r="K232" s="42" t="str">
        <x:v>Fail</x:v>
      </x:c>
      <x:c r="L232" s="42" t="str"/>
    </x:row>
    <x:row r="233">
      <x:c r="A233" s="42" t="str">
        <x:v>EV-INTERACTIVE-RECOVERY-ROUTING-RETEST</x:v>
      </x:c>
      <x:c r="B233" s="42" t="str">
        <x:v>Fixture stop, cleanup and window-routing evidence</x:v>
      </x:c>
      <x:c r="C233" s="42" t="str">
        <x:v>PRV-001, PRF-027, REL-001</x:v>
      </x:c>
      <x:c r="D233" s="42" t="str">
        <x:v>TR-INTERACTIVE-RECOVERY-ROUTING-RETEST</x:v>
      </x:c>
      <x:c r="E233" s="42" t="str"/>
      <x:c r="F233" s="42" t="str">
        <x:v>artifacts/reference-editor/interactive-recovery-light-retest.log; artifacts/reference-editor/interactive-recovery-window-routing-failure/state.json; artifacts/reference-editor/interactive-recovery-window-routing-failure/before-light.png</x:v>
      </x:c>
      <x:c r="G233" s="42" t="str"/>
      <x:c r="H233" s="52" t="n">
        <x:v>46271.02185925926</x:v>
      </x:c>
      <x:c r="I233" s="42" t="str">
        <x:v>Does this move dockit closer to a native, obvious, zero-truncation profile switcher?</x:v>
      </x:c>
      <x:c r="J233" s="42" t="str">
        <x:v>It validates least-privilege test control and cleanup, and identifies the remaining window-routing boundary. Actual save-error interaction still needs to run on the correct model.</x:v>
      </x:c>
      <x:c r="K233" s="42" t="str">
        <x:v>Fail</x:v>
      </x:c>
      <x:c r="L233" s="42" t="str"/>
    </x:row>
    <x:row r="234">
      <x:c r="A234" s="42" t="str">
        <x:v>EV-RETRY-STALE-ALERT-RED</x:v>
      </x:c>
      <x:c r="B234" s="42" t="str">
        <x:v>Controlled failed-retry and successful-retry screenshots</x:v>
      </x:c>
      <x:c r="C234" s="42" t="str">
        <x:v>REL-001, PRF-027, PRV-001</x:v>
      </x:c>
      <x:c r="D234" s="42" t="str">
        <x:v>TR-RETRY-STALE-ALERT-RED</x:v>
      </x:c>
      <x:c r="E234" s="42" t="str"/>
      <x:c r="F234" s="42" t="str">
        <x:v>artifacts/reference-editor/interactive-recovery/retained-edit-light.png; artifacts/reference-editor/interactive-recovery/retry-failed-light.png; artifacts/reference-editor/interactive-recovery/retry-saved-light.png; artifacts/reference-editor/interactive-recovery/after-done-light.png</x:v>
      </x:c>
      <x:c r="G234" s="42" t="str"/>
      <x:c r="H234" s="52" t="n">
        <x:v>46271.03193585648</x:v>
      </x:c>
      <x:c r="I234" s="42" t="str">
        <x:v>Does this move dockit closer to a native, obvious, zero-truncation profile switcher?</x:v>
      </x:c>
      <x:c r="J234" s="42" t="str">
        <x:v>The captures verify readable recovery and retained edits but expose contradictory feedback after successful saving. The stale alert must be corrected and the sequence rerun. Static captures do not verify motion.</x:v>
      </x:c>
      <x:c r="K234" s="42" t="str">
        <x:v>Fail</x:v>
      </x:c>
      <x:c r="L234" s="42" t="str"/>
    </x:row>
    <x:row r="235">
      <x:c r="A235" s="42" t="str">
        <x:v>EV-RETRY-STALE-ALERT-AUTO-RED</x:v>
      </x:c>
      <x:c r="B235" s="42" t="str">
        <x:v>Hosted regression failure</x:v>
      </x:c>
      <x:c r="C235" s="42" t="str">
        <x:v>REL-001, PRF-027, XFR-006</x:v>
      </x:c>
      <x:c r="D235" s="42" t="str">
        <x:v>TR-RETRY-STALE-ALERT-AUTO-RED</x:v>
      </x:c>
      <x:c r="E235" s="42" t="str"/>
      <x:c r="F235" s="42" t="str">
        <x:v>artifacts/reference-editor/retry-stale-alert-red-suite.log</x:v>
      </x:c>
      <x:c r="G235" s="42" t="str"/>
      <x:c r="H235" s="52" t="n">
        <x:v>46271.03738193287</x:v>
      </x:c>
      <x:c r="I235" s="42" t="str">
        <x:v>Does the regression reproduce the observed stale recovery alert?</x:v>
      </x:c>
      <x:c r="J235" s="42" t="str">
        <x:v>Yes. Both retry paths leave the same obsolete presentedError after a later successful save. This is state evidence, not visual or motion verification.</x:v>
      </x:c>
      <x:c r="K235" s="42" t="str">
        <x:v>Fail</x:v>
      </x:c>
      <x:c r="L235" s="42" t="str"/>
    </x:row>
    <x:row r="236">
      <x:c r="A236" s="42" t="str">
        <x:v>EV-RETRY-STALE-ALERT-GREEN</x:v>
      </x:c>
      <x:c r="B236" s="42" t="str">
        <x:v>Automated regressions and controlled recovery screenshots</x:v>
      </x:c>
      <x:c r="C236" s="42" t="str">
        <x:v>REL-001, PRF-027, XFR-006, PRV-001</x:v>
      </x:c>
      <x:c r="D236" s="42" t="str">
        <x:v>TR-RETRY-STALE-ALERT-LIVE-GREEN</x:v>
      </x:c>
      <x:c r="E236" s="42" t="str"/>
      <x:c r="F236" s="42" t="str">
        <x:v>artifacts/reference-editor/interactive-recovery/green-review-light.png; artifacts/reference-editor/interactive-recovery/green-retry-saved-light.png; artifacts/reference-editor/interactive-recovery/green-after-done-light.png; artifacts/reference-editor/retry-stale-alert-fixed-full.log; artifacts/reference-editor/retry-stale-alert-fixed-interactive-retest.log</x:v>
      </x:c>
      <x:c r="G236" s="42" t="str"/>
      <x:c r="H236" s="52" t="n">
        <x:v>46271.045047719905</x:v>
      </x:c>
      <x:c r="I236" s="42" t="str">
        <x:v>Does this move dockit closer to a native, obvious, zero-truncation profile switcher?</x:v>
      </x:c>
      <x:c r="J236" s="42" t="str">
        <x:v>Yes for recovery feedback. The sheet text remains readable, success replaces failure, and closing it returns to the correct pending editor without a stale alert. These still captures do not prove smooth transitions, dark appearance, or VoiceOver behavior.</x:v>
      </x:c>
      <x:c r="K236" s="42" t="str">
        <x:v>Pass</x:v>
      </x:c>
      <x:c r="L236" s="42" t="str"/>
    </x:row>
    <x:row r="237">
      <x:c r="A237" s="42" t="str">
        <x:v>EV-DEVELOPMENT-REGISTRATION-001</x:v>
      </x:c>
      <x:c r="B237" s="42" t="str">
        <x:v>Public application URL query</x:v>
      </x:c>
      <x:c r="C237" s="42" t="str">
        <x:v>REL-004, UX-002, MEN-007</x:v>
      </x:c>
      <x:c r="D237" s="42" t="str">
        <x:v>TR-DEVELOPMENT-REGISTRATION-001</x:v>
      </x:c>
      <x:c r="E237" s="42" t="str"/>
      <x:c r="F237" s="42" t="str">
        <x:v>artifacts/reference-editor/development-registration-verification.log</x:v>
      </x:c>
      <x:c r="G237" s="42" t="str"/>
      <x:c r="H237" s="52" t="n">
        <x:v>46271.10680336806</x:v>
      </x:c>
      <x:c r="I237" s="42" t="str">
        <x:v>Does the production identifier resolve to one current build?</x:v>
      </x:c>
      <x:c r="J237" s="42" t="str">
        <x:v>Yes. Exactly one registered URL and the preferred URL point to reference-controls. This does not prove release readiness.</x:v>
      </x:c>
      <x:c r="K237" s="42" t="str">
        <x:v>Pass</x:v>
      </x:c>
      <x:c r="L237" s="42" t="str"/>
    </x:row>
    <x:row r="238">
      <x:c r="A238" s="42" t="str">
        <x:v>EV-MANAGE-MENU-SYMBOL-001</x:v>
      </x:c>
      <x:c r="B238" s="42" t="str">
        <x:v>Hosted native menu regression</x:v>
      </x:c>
      <x:c r="C238" s="42" t="str">
        <x:v>MEN-001, MEN-007</x:v>
      </x:c>
      <x:c r="D238" s="42" t="str">
        <x:v>TR-MANAGE-MENU-SYMBOL-001</x:v>
      </x:c>
      <x:c r="E238" s="42" t="str"/>
      <x:c r="F238" s="42" t="str">
        <x:v>artifacts/reference-editor/manage-menu-icon-tests.log</x:v>
      </x:c>
      <x:c r="G238" s="42" t="str"/>
      <x:c r="H238" s="52" t="n">
        <x:v>46271.10680337963</x:v>
      </x:c>
      <x:c r="I238" s="42" t="str">
        <x:v>Does manage docks retain a template symbol and its command behavior?</x:v>
      </x:c>
      <x:c r="J238" s="42" t="str">
        <x:v>The hosted regression passes and actual command invocation opens the editor. No screenshot was returned for the menu, so visual quality is not verified.</x:v>
      </x:c>
      <x:c r="K238" s="42" t="str">
        <x:v>Pass</x:v>
      </x:c>
      <x:c r="L238" s="42" t="str"/>
    </x:row>
    <x:row r="239">
      <x:c r="A239" s="42" t="str">
        <x:v>EV-FOCUS-REGISTRATION-RED-001</x:v>
      </x:c>
      <x:c r="B239" s="42" t="str">
        <x:v>Native Focus form and registration failure</x:v>
      </x:c>
      <x:c r="C239" s="42" t="str">
        <x:v>FOC-001, FOC-002, REL-004</x:v>
      </x:c>
      <x:c r="D239" s="42" t="str">
        <x:v>TR-FOCUS-REGISTRATION-RED-001</x:v>
      </x:c>
      <x:c r="E239" s="42" t="str"/>
      <x:c r="F239" s="42" t="str">
        <x:v>artifacts/reference-editor/focus-picker-before-20260905.png; artifacts/reference-editor/focus-extension-registration-failure.log</x:v>
      </x:c>
      <x:c r="G239" s="42" t="str"/>
      <x:c r="H239" s="52" t="n">
        <x:v>46271.11221627315</x:v>
      </x:c>
      <x:c r="I239" s="42" t="str">
        <x:v>Can the authoritative build configure a Focus profile?</x:v>
      </x:c>
      <x:c r="J239" s="42" t="str">
        <x:v>No. The inspected native error is readable but the form cannot load. Single application URL resolution was insufficient. The failure remains separate from the older double-checkmark report.</x:v>
      </x:c>
      <x:c r="K239" s="42" t="str">
        <x:v>Fail</x:v>
      </x:c>
      <x:c r="L239" s="42" t="str"/>
    </x:row>
    <x:row r="240">
      <x:c r="A240" s="42" t="str">
        <x:v>EV-FOCUS-REGISTRATION-RETEST-001</x:v>
      </x:c>
      <x:c r="B240" s="42" t="str">
        <x:v>Post-repair Focus form and fresh-host error log</x:v>
      </x:c>
      <x:c r="C240" s="42" t="str">
        <x:v>FOC-001, FOC-002, REL-004</x:v>
      </x:c>
      <x:c r="D240" s="42" t="str">
        <x:v>TR-FOCUS-REGISTRATION-RETEST-001</x:v>
      </x:c>
      <x:c r="E240" s="42" t="str"/>
      <x:c r="F240" s="42" t="str">
        <x:v>artifacts/reference-editor/focus-picker-after-settings-restart-20260905.png; artifacts/reference-editor/focus-extension-restart-retest.log</x:v>
      </x:c>
      <x:c r="G240" s="42" t="str"/>
      <x:c r="H240" s="52" t="n">
        <x:v>46271.11385592593</x:v>
      </x:c>
      <x:c r="I240" s="42" t="str">
        <x:v>Does the signed development repair restore usable Focus configuration?</x:v>
      </x:c>
      <x:c r="J240" s="42" t="str">
        <x:v>No. The native error remains readable, but Add stays disabled. This is a blocked integration check, not a visual or functional pass. No picker selection trial was possible.</x:v>
      </x:c>
      <x:c r="K240" s="42" t="str">
        <x:v>Fail</x:v>
      </x:c>
      <x:c r="L240" s="42" t="str"/>
    </x:row>
    <x:row r="241">
      <x:c r="A241" s="42" t="str">
        <x:v>EV-FOCUS-NORMAL-LAUNCH-001</x:v>
      </x:c>
      <x:c r="B241" s="42" t="str">
        <x:v>Post-launch native Focus failure and profile publication log</x:v>
      </x:c>
      <x:c r="C241" s="42" t="str">
        <x:v>FOC-001, FOC-002, REL-004</x:v>
      </x:c>
      <x:c r="D241" s="42" t="str">
        <x:v>TR-FOCUS-NORMAL-LAUNCH-001</x:v>
      </x:c>
      <x:c r="E241" s="42" t="str"/>
      <x:c r="F241" s="42" t="str">
        <x:v>artifacts/reference-editor/focus-normal-launch-result-20260905.png; artifacts/reference-editor/focus-normal-launch-log-20260905.log</x:v>
      </x:c>
      <x:c r="G241" s="42" t="str"/>
      <x:c r="H241" s="52" t="n">
        <x:v>46271.11767064815</x:v>
      </x:c>
      <x:c r="I241" s="42" t="str">
        <x:v>Does a normal signed app launch restore the Focus form?</x:v>
      </x:c>
      <x:c r="J241" s="42" t="str">
        <x:v>No. The catalog loads but the configuration form still fails before selection. The visible failure is captured, not counted as a pass.</x:v>
      </x:c>
      <x:c r="K241" s="42" t="str">
        <x:v>Fail</x:v>
      </x:c>
      <x:c r="L241" s="42" t="str"/>
    </x:row>
    <x:row r="242">
      <x:c r="A242" s="42" t="str">
        <x:v>EV-FOCUS-FIXTURE-CLEANUP-001</x:v>
      </x:c>
      <x:c r="B242" s="42" t="str">
        <x:v>Native Focus list after approved cleanup</x:v>
      </x:c>
      <x:c r="C242" s="42" t="str">
        <x:v>FOC-001, REL-004</x:v>
      </x:c>
      <x:c r="D242" s="42" t="str">
        <x:v>TR-FOCUS-FIXTURE-CLEANUP-001</x:v>
      </x:c>
      <x:c r="E242" s="42" t="str"/>
      <x:c r="F242" s="42" t="str">
        <x:v>artifacts/reference-editor/focus-fixture-removed-20260905.png</x:v>
      </x:c>
      <x:c r="G242" s="42" t="str"/>
      <x:c r="H242" s="52" t="n">
        <x:v>46271.132328402775</x:v>
      </x:c>
      <x:c r="I242" s="42" t="str">
        <x:v>Was only the authorized temporary Focus removed?</x:v>
      </x:c>
      <x:c r="J242" s="42" t="str">
        <x:v>The inspected list no longer contains Dockit Test and retains every previously observed non-test Focus. No app UI or animation verification is implied.</x:v>
      </x:c>
      <x:c r="K242" s="42" t="str">
        <x:v>Pass</x:v>
      </x:c>
      <x:c r="L242" s="42" t="str"/>
    </x:row>
    <x:row r="243">
      <x:c r="A243" s="42" t="str">
        <x:v>EV-INTERACTION-SWEEP-001</x:v>
      </x:c>
      <x:c r="B243" s="42" t="str">
        <x:v>Actual dark editor and settings captures</x:v>
      </x:c>
      <x:c r="C243" s="42" t="str">
        <x:v>PRF-009, PRF-021, PRF-028, SET-001, SET-004</x:v>
      </x:c>
      <x:c r="D243" s="42" t="str">
        <x:v>TR-INTERACTION-SWEEP-001</x:v>
      </x:c>
      <x:c r="E243" s="42" t="str"/>
      <x:c r="F243" s="42" t="str">
        <x:v>artifacts/reference-editor/sweep-spacers-20260905.png; artifacts/reference-editor/sweep-grouped-keyboard-20260905.png; artifacts/reference-editor/sweep-settings-about-20260905.png</x:v>
      </x:c>
      <x:c r="G243" s="42" t="str"/>
      <x:c r="H243" s="52" t="n">
        <x:v>46271.136427627316</x:v>
      </x:c>
      <x:c r="I243" s="42" t="str">
        <x:v>Does this move dockit closer to a native, obvious, zero-truncation profile switcher?</x:v>
      </x:c>
      <x:c r="J243" s="42" t="str">
        <x:v>These fixtures retain readable content, ordered spacer slots, grouped keyboard editing and reachable sidebar-free settings. Pointer dragging and motion remain unverified.</x:v>
      </x:c>
      <x:c r="K243" s="42" t="str">
        <x:v>Pass</x:v>
      </x:c>
      <x:c r="L243" s="42" t="str"/>
    </x:row>
    <x:row r="244">
      <x:c r="A244" s="42" t="str">
        <x:v>EV-RECOVERY-MODEL-20260906</x:v>
      </x:c>
      <x:c r="B244" s="42" t="str">
        <x:v>Hosted non-demo recovery regression and assertions</x:v>
      </x:c>
      <x:c r="C244" s="42" t="str">
        <x:v>XFR-006, REL-001, REL-002, PRF-025, PRF-027</x:v>
      </x:c>
      <x:c r="D244" s="42" t="str">
        <x:v>TR-RECOVERY-MODEL-20260906</x:v>
      </x:c>
      <x:c r="E244" s="42" t="str"/>
      <x:c r="F244" s="42" t="str">
        <x:v>artifacts/reference-editor/recovery-model-verification-20260906.log; artifacts/reference-editor/recovery-model-verification-20260906.xcresult</x:v>
      </x:c>
      <x:c r="G244" s="42" t="str"/>
      <x:c r="H244" s="52" t="n">
        <x:v>46271.25783819445</x:v>
      </x:c>
      <x:c r="I244" s="42" t="str">
        <x:v>Do failed saves and failed applies preserve recoverable state through the real model logic?</x:v>
      </x:c>
      <x:c r="J244" s="42" t="str">
        <x:v>The 51-test suite passes with temporary persistence and injected Dock services. It verifies state transitions and rollback logic, not visual feedback, pointer input, VoiceOver or actual Dock restart behavior.</x:v>
      </x:c>
      <x:c r="K244" s="42" t="str">
        <x:v>Pass</x:v>
      </x:c>
      <x:c r="L244" s="42" t="str"/>
    </x:row>
    <x:row r="245">
      <x:c r="A245" s="42" t="str">
        <x:v>EV-FULL-AUTOMATED-20260906</x:v>
      </x:c>
      <x:c r="B245" s="42" t="str">
        <x:v>Full hosted and core test execution logs</x:v>
      </x:c>
      <x:c r="C245" s="42" t="str">
        <x:v>PRF-025, PRF-027, PRF-028, XFR-006, REL-001, REL-002</x:v>
      </x:c>
      <x:c r="D245" s="42" t="str">
        <x:v>TR-FULL-AUTOMATED-20260906</x:v>
      </x:c>
      <x:c r="E245" s="42" t="str"/>
      <x:c r="F245" s="42" t="str">
        <x:v>artifacts/reference-editor/full-regression-20260906.log; artifacts/reference-editor/core-regression-20260906.log</x:v>
      </x:c>
      <x:c r="G245" s="42" t="str"/>
      <x:c r="H245" s="52" t="n">
        <x:v>46271.26359542824</x:v>
      </x:c>
      <x:c r="I245" s="42" t="str">
        <x:v>Does the current build retain its tested behavior after the recent recovery and interface changes?</x:v>
      </x:c>
      <x:c r="J245" s="42" t="str">
        <x:v>188 executed automated tests pass. This supports tested model and adapter behavior only. It cannot establish pointer dragging, visual accuracy, smoothness, VoiceOver or live system integration.</x:v>
      </x:c>
      <x:c r="K245" s="42" t="str">
        <x:v>Pass</x:v>
      </x:c>
      <x:c r="L245" s="42" t="str"/>
    </x:row>
    <x:row r="246">
      <x:c r="A246" s="42" t="str">
        <x:v>EV-RECOVERY-RETRY-20260906</x:v>
      </x:c>
      <x:c r="B246" s="42" t="str">
        <x:v>Dark missing-app review and cancellation screenshots</x:v>
      </x:c>
      <x:c r="C246" s="42" t="str">
        <x:v>XFR-006, REL-001</x:v>
      </x:c>
      <x:c r="D246" s="42" t="str">
        <x:v>TR-RECOVERY-POINTER-RETRY-20260906</x:v>
      </x:c>
      <x:c r="E246" s="42" t="str"/>
      <x:c r="F246" s="42" t="str">
        <x:v>artifacts/reference-editor/unavailable-review-retry-20260906.png; artifacts/reference-editor/replacement-picker-retry-20260906.png; artifacts/reference-editor/replacement-cancel-retry-20260906.png; artifacts/reference-editor/review-cancel-retry-20260906.png</x:v>
      </x:c>
      <x:c r="G246" s="42" t="str"/>
      <x:c r="H246" s="52" t="n">
        <x:v>46271.2687724537</x:v>
      </x:c>
      <x:c r="I246" s="42" t="str">
        <x:v>Does this move dockit closer to a native, obvious, zero-truncation profile switcher?</x:v>
      </x:c>
      <x:c r="J246" s="42" t="str">
        <x:v>The recovery dialog shows the complete missing-app name and path, readable choices and native replacement selection. Both cancellation paths preserve the unavailable entry and leave games inactive. This verifies the dark fixture only, not complete recovery or animation quality.</x:v>
      </x:c>
      <x:c r="K246" s="42" t="str">
        <x:v>Pass</x:v>
      </x:c>
      <x:c r="L246" s="42" t="str"/>
    </x:row>
    <x:row r="247">
      <x:c r="A247" s="42" t="str">
        <x:v>EV-NATIVE-DRAG-LAYOUT-20260906</x:v>
      </x:c>
      <x:c r="B247" s="42" t="str">
        <x:v>Hosted test log, user interaction report and scoped visual review</x:v>
      </x:c>
      <x:c r="C247" s="42" t="str">
        <x:v>PRF-028, UX-001, XFR-006</x:v>
      </x:c>
      <x:c r="D247" s="42" t="str">
        <x:v>TR-NATIVE-DRAG-LAYOUT-20260906</x:v>
      </x:c>
      <x:c r="E247" s="42" t="str"/>
      <x:c r="F247" s="42" t="str">
        <x:v>artifacts/reference-editor/drag-layout-review-20260906.md; artifacts/reference-editor/native-drag-full-tests-20260906.log; artifacts/reference-editor/native-drag-user-result-20260906.png; artifacts/reference-editor/autosize-missing-20260906.png; artifacts/reference-editor/autosize-missing-light-20260906.png</x:v>
      </x:c>
      <x:c r="G247" s="42" t="str"/>
      <x:c r="H247" s="52" t="n">
        <x:v>46271.28850789352</x:v>
      </x:c>
      <x:c r="I247" s="42" t="str">
        <x:v>Does this move dockit closer to a native, obvious, zero-truncation profile switcher?</x:v>
      </x:c>
      <x:c r="J247" s="42" t="str">
        <x:v>User-confirmed native dragging and content-fit tests improve the affected workflow. The dark short dialog has readable content and actions. The light action capture remains unresolved. The after-drag screenshot shows work and cannot prove Reading reorder. No full visual or motion pass claimed.</x:v>
      </x:c>
      <x:c r="K247" s="42" t="str">
        <x:v>Blocked</x:v>
      </x:c>
      <x:c r="L247" s="42" t="str"/>
    </x:row>
    <x:row r="248">
      <x:c r="A248" s="42" t="str">
        <x:v>EV-FINISHING-20260906</x:v>
      </x:c>
      <x:c r="B248" s="42" t="str">
        <x:v>Hosted renders, test logs and installer preview</x:v>
      </x:c>
      <x:c r="C248" s="42" t="str">
        <x:v>FIN-001, FIN-002, FIN-003, FIN-004, UX-001, UX-003, XFR-006, PRF-028</x:v>
      </x:c>
      <x:c r="D248" s="42" t="str">
        <x:v>TR-FINISHING-20260906</x:v>
      </x:c>
      <x:c r="E248" s="42" t="str"/>
      <x:c r="F248" s="42" t="str">
        <x:v>artifacts/reference-editor/finishing-pass; artifacts/reference-editor/finishing-core-tests-20260906.log; artifacts/ledger/finishing-ledger-tests-20260906.log; artifacts/installer/finishing-preview-tests-20260906.log; Design/Installer/background.png</x:v>
      </x:c>
      <x:c r="G248" s="42" t="str"/>
      <x:c r="H248" s="52" t="n">
        <x:v>46271.30391818287</x:v>
      </x:c>
      <x:c r="I248" s="42" t="str">
        <x:v>Does this move dockit closer to a native, obvious, zero-truncation profile switcher?</x:v>
      </x:c>
      <x:c r="J248" s="42" t="str">
        <x:v>Guide content fits in both hosted appearances; model and sizing checks support the new behavior. Picker placement is measured within1point. Installer contents preserve app signatures. Live motion and final rendered Finder remain unverified, and decorative mascot differences need approval.</x:v>
      </x:c>
      <x:c r="K248" s="42" t="str">
        <x:v>Blocked</x:v>
      </x:c>
      <x:c r="L248" s="42" t="str"/>
    </x:row>
    <x:row r="249">
      <x:c r="A249" s="42" t="str">
        <x:v>EV-INSTALLED-DEMO-20260906</x:v>
      </x:c>
      <x:c r="B249" s="42" t="str">
        <x:v>Screenshot</x:v>
      </x:c>
      <x:c r="C249" s="42" t="str">
        <x:v>PRF-010, FIN-003</x:v>
      </x:c>
      <x:c r="D249" s="42" t="str">
        <x:v>TR-INSTALLED-DEMO-20260906</x:v>
      </x:c>
      <x:c r="E249" s="42" t="str"/>
      <x:c r="F249" s="42" t="str">
        <x:v>artifacts/installed-app-repair/installed-preview-before.png; artifacts/installed-app-repair/preview-profiles-before-replacement-20260906.dockit</x:v>
      </x:c>
      <x:c r="G249" s="42" t="str"/>
      <x:c r="H249" s="52" t="n">
        <x:v>46271.316175775464</x:v>
      </x:c>
      <x:c r="I249" s="42" t="str">
        <x:v>Does the installed copy behave as a real profile switcher?</x:v>
      </x:c>
      <x:c r="J249" s="42" t="str">
        <x:v>No. It presents production-style apply feedback while embedded demo settings bypass actual Dock changes. Live screenshot and export succeeded.</x:v>
      </x:c>
      <x:c r="K249" s="42" t="str">
        <x:v>Fail</x:v>
      </x:c>
      <x:c r="L249" s="42" t="str"/>
    </x:row>
    <x:row r="250">
      <x:c r="A250" s="42" t="str">
        <x:v>EV-WORKING-COPY-20260906</x:v>
      </x:c>
      <x:c r="B250" s="42" t="str">
        <x:v>Screenshot</x:v>
      </x:c>
      <x:c r="C250" s="42" t="str">
        <x:v>PRF-010, REL-003, MEN-001, MEN-003, MEN-007, FIN-003</x:v>
      </x:c>
      <x:c r="D250" s="42" t="str">
        <x:v>TR-WORKING-COPY-20260906</x:v>
      </x:c>
      <x:c r="E250" s="42" t="str"/>
      <x:c r="F250" s="42" t="str">
        <x:v>artifacts/installed-app-repair/development-installer-live.png; artifacts/installed-app-repair/core-regression.log; artifacts/installer/development-1.0.0-signature-verification-20260906.json; /tmp/dockit-lifecycle-tests.log; /tmp/dockit-applied-feedback-tests.log</x:v>
      </x:c>
      <x:c r="G250" s="42" t="str"/>
      <x:c r="H250" s="52" t="n">
        <x:v>46271.339968657405</x:v>
      </x:c>
      <x:c r="I250" s="42" t="str">
        <x:v>Is the delivered copy a real app and is verification tied to the actual surface?</x:v>
      </x:c>
      <x:c r="J250" s="42" t="str">
        <x:v>Configuration and signatures prove the replacement is not demo mode. Mounted Finder proves the background now displays. Hosted tests prove scoped behavior only; current live apply and lifecycle remain separate gates.</x:v>
      </x:c>
      <x:c r="K250" s="42" t="str">
        <x:v>Not run</x:v>
      </x:c>
      <x:c r="L250" s="42" t="str"/>
    </x:row>
    <x:row r="251">
      <x:c r="A251" s="42" t="str">
        <x:v>EV-REAL-RESTORE-FAILURE-20260906</x:v>
      </x:c>
      <x:c r="B251" s="42" t="str">
        <x:v>Screenshot</x:v>
      </x:c>
      <x:c r="C251" s="42" t="str">
        <x:v>PRF-010, REL-002</x:v>
      </x:c>
      <x:c r="D251" s="42" t="str">
        <x:v>TR-REAL-RESTORE-FAILURE-20260906</x:v>
      </x:c>
      <x:c r="E251" s="42" t="str"/>
      <x:c r="F251" s="42" t="str">
        <x:v>artifacts/installed-app-repair/live-clean.log; artifacts/installed-app-repair/live-clean-report.json.preferences.jsonl; artifacts/installed-app-repair/live-fresh-backup.plist; artifacts/installed-app-repair/after-emergency-retry.plist</x:v>
      </x:c>
      <x:c r="G251" s="42" t="str"/>
      <x:c r="H251" s="52" t="n">
        <x:v>46271.33996871528</x:v>
      </x:c>
      <x:c r="I251" s="42" t="str">
        <x:v>Did normal apply and restoration both pass?</x:v>
      </x:c>
      <x:c r="J251" s="42" t="str">
        <x:v>No. Apply passed, normal restoration did not. Independent comparison after emergency retry confirms exact original apps and folders restored. Keep recovery gate failed until the post-reload mismatch is explained and retested.</x:v>
      </x:c>
      <x:c r="K251" s="42" t="str">
        <x:v>Fail</x:v>
      </x:c>
      <x:c r="L251" s="42" t="str"/>
    </x:row>
    <x:row r="252">
      <x:c r="A252" s="42" t="str">
        <x:v>EV-ALREADY-APPLIED-20260906</x:v>
      </x:c>
      <x:c r="B252" s="42" t="str">
        <x:v>Screenshot</x:v>
      </x:c>
      <x:c r="C252" s="42" t="str">
        <x:v>PRF-010, REL-003</x:v>
      </x:c>
      <x:c r="D252" s="42" t="str">
        <x:v>TR-ALREADY-APPLIED-20260906</x:v>
      </x:c>
      <x:c r="E252" s="42"/>
      <x:c r="F252" s="42" t="str">
        <x:v>/tmp/dockit-already-applied-core-20260906.log; /tmp/dockit-already-applied-ui-20260906.log; /tmp/dockit-diagnostic-cleanup-tests.log</x:v>
      </x:c>
      <x:c r="G252" s="42"/>
      <x:c r="H252" s="52" t="n">
        <x:v>46271.35214976852</x:v>
      </x:c>
      <x:c r="I252" s="42" t="str">
        <x:v>Does an already-applied layout avoid repeated work and feedback?</x:v>
      </x:c>
      <x:c r="J252" s="42" t="str">
        <x:v>Automated checks pass. No preference writes or Dock restart for equivalent layouts. Applied label geometry stays fixed and progress does not flash. Live visual verification remains unclaimed.</x:v>
      </x:c>
      <x:c r="K252" s="42" t="str">
        <x:v>Pass</x:v>
      </x:c>
      <x:c r="L252" s="42"/>
    </x:row>
    <x:row r="253">
      <x:c r="A253" s="42" t="str">
        <x:v>EV-RELOAD-ALTERNATIVES-20260906</x:v>
      </x:c>
      <x:c r="B253" s="42" t="str">
        <x:v>Screenshot</x:v>
      </x:c>
      <x:c r="C253" s="42" t="str">
        <x:v>PRF-010, REL-002</x:v>
      </x:c>
      <x:c r="D253" s="42" t="str">
        <x:v>TR-RELOAD-ALTERNATIVES-20260906</x:v>
      </x:c>
      <x:c r="E253" s="42"/>
      <x:c r="F253" s="42" t="str">
        <x:v>artifacts/installed-app-repair/live-isolated-report.json.preferences.jsonl; artifacts/installed-app-repair/live-settled-report.json; artifacts/installed-app-repair/live-ready.log; artifacts/installed-app-repair/live-graceful.log; artifacts/installed-app-repair/live-explicit.log; artifacts/installed-app-repair/live-explicit-emergency-retry.log; artifacts/installed-app-repair/live-explicit-backup.plist</x:v>
      </x:c>
      <x:c r="G253" s="42"/>
      <x:c r="H253" s="52" t="n">
        <x:v>46271.35214980324</x:v>
      </x:c>
      <x:c r="I253" s="42" t="str">
        <x:v>Can a tested alternative replace the baseline reliably?</x:v>
      </x:c>
      <x:c r="J253" s="42" t="str">
        <x:v>No. Alternative trials fail. Emergency recovery succeeded and an independent Foundation plist comparison confirmed exact restoration of persistent-apps and persistent-others.</x:v>
      </x:c>
      <x:c r="K253" s="42" t="str">
        <x:v>Fail</x:v>
      </x:c>
      <x:c r="L253" s="42"/>
    </x:row>
    <x:row r="254">
      <x:c r="A254" s="42" t="str">
        <x:v>EV-FRESH-INSTALL-FINISH-20260906</x:v>
      </x:c>
      <x:c r="B254" s="42" t="str">
        <x:v>Screenshot</x:v>
      </x:c>
      <x:c r="C254" s="42" t="str">
        <x:v>PRF-001, FIN-001, FIN-002</x:v>
      </x:c>
      <x:c r="D254" s="42" t="str">
        <x:v>TR-FRESH-INSTALL-FINISH-20260906</x:v>
      </x:c>
      <x:c r="E254" s="42" t="str"/>
      <x:c r="F254" s="42" t="str">
        <x:v>/tmp/dockit-firstsetup-final-tests.log; /tmp/dockit-finishing-regression-20260906.log; /tmp/dockit-finishing-build-20260906.log</x:v>
      </x:c>
      <x:c r="G254" s="42" t="str"/>
      <x:c r="H254" s="52" t="n">
        <x:v>46271.79754820602</x:v>
      </x:c>
      <x:c r="I254" s="42" t="str">
        <x:v>Does initial setup avoid sample profiles and preserve existing installations?</x:v>
      </x:c>
      <x:c r="J254" s="42" t="str">
        <x:v>Automated checks pass. Only current dock is created during fresh setup. Existing libraries remain unchanged and do not automatically reopen the guide.</x:v>
      </x:c>
      <x:c r="K254" s="42" t="str">
        <x:v>Pass</x:v>
      </x:c>
      <x:c r="L254" s="42" t="str"/>
    </x:row>
    <x:row r="255">
      <x:c r="A255" s="42" t="str">
        <x:v>EV-PICKER-CENTERS-FINISH-20260906</x:v>
      </x:c>
      <x:c r="B255" s="42" t="str">
        <x:v>Screenshot</x:v>
      </x:c>
      <x:c r="C255" s="42" t="str">
        <x:v>PRF-023, MEN-005, REL-003</x:v>
      </x:c>
      <x:c r="D255" s="42" t="str">
        <x:v>TR-PICKER-CENTERS-FINISH-20260906</x:v>
      </x:c>
      <x:c r="E255" s="42" t="str"/>
      <x:c r="F255" s="42" t="str">
        <x:v>/tmp/dockit-picker-all-centers-20260906.log; artifacts/installed-app-repair/picker-center-live-20260906.png; artifacts/installed-app-repair/applied-action-live-clear-20260906.png</x:v>
      </x:c>
      <x:c r="G255" s="42" t="str"/>
      <x:c r="H255" s="52" t="n">
        <x:v>46271.79754824074</x:v>
      </x:c>
      <x:c r="I255" s="42" t="str">
        <x:v>Does this move dockit closer to a native, obvious, zero-truncation switcher?</x:v>
      </x:c>
      <x:c r="J255" s="42" t="str">
        <x:v>Yes for the inspected state. Picker and traffic lights share their center line, the selected name fits, and the applied action is visibly disabled. Long-content and appearance coverage is not inferred from this screenshot.</x:v>
      </x:c>
      <x:c r="K255" s="42" t="str">
        <x:v>Pass</x:v>
      </x:c>
      <x:c r="L255" s="42" t="str"/>
    </x:row>
    <x:row r="256">
      <x:c r="A256" s="42" t="str">
        <x:v>EV-CLEAN-DMG-FINISH-20260906</x:v>
      </x:c>
      <x:c r="B256" s="42" t="str">
        <x:v>Screenshot</x:v>
      </x:c>
      <x:c r="C256" s="42" t="str">
        <x:v>FIN-003, FIN-004</x:v>
      </x:c>
      <x:c r="D256" s="42" t="str">
        <x:v>TR-CLEAN-DMG-FINISH-20260906</x:v>
      </x:c>
      <x:c r="E256" s="42" t="str"/>
      <x:c r="F256" s="42" t="str">
        <x:v>artifacts/installed-app-repair/dmg-final-clean-mount-20260906.png; artifacts/installed-app-repair/dmg-zero-label-failed-20260906.png; artifacts/installer/clean-installer-tests-20260906.log; artifacts/installer/development-current-package-20260906.log</x:v>
      </x:c>
      <x:c r="G256" s="42" t="str"/>
      <x:c r="H256" s="52" t="n">
        <x:v>46271.79754827546</x:v>
      </x:c>
      <x:c r="I256" s="42" t="str">
        <x:v>Does the mounted image meet the requested clean installer design?</x:v>
      </x:c>
      <x:c r="J256" s="42" t="str">
        <x:v>Partially. Background notice is removed and targets load correctly. Native filename hiding remains unmet; labels are low contrast on dark artwork after requested underlay removal. Do not mark visual verification complete.</x:v>
      </x:c>
      <x:c r="K256" s="42" t="str">
        <x:v>Fail</x:v>
      </x:c>
      <x:c r="L256" s="42" t="str"/>
    </x:row>
    <x:row r="257">
      <x:c r="A257" s="42" t="str">
        <x:v>EV-WHITE-DMG-20260906</x:v>
      </x:c>
      <x:c r="B257" s="42" t="str">
        <x:v>Screenshot</x:v>
      </x:c>
      <x:c r="C257" s="42" t="str">
        <x:v>FIN-003</x:v>
      </x:c>
      <x:c r="D257" s="42" t="str">
        <x:v>TR-WHITE-DMG-20260906</x:v>
      </x:c>
      <x:c r="E257" s="42" t="str"/>
      <x:c r="F257" s="42" t="str">
        <x:v>artifacts/installer/white-live.png; artifacts/installer/white-package.log; Design/Installer/white/background-4k.png</x:v>
      </x:c>
      <x:c r="G257" s="42" t="str"/>
      <x:c r="H257" s="52" t="n">
        <x:v>46271.82586471065</x:v>
      </x:c>
      <x:c r="I257" s="42" t="str">
        <x:v>Are native filenames readable while retaining the approved installer composition?</x:v>
      </x:c>
      <x:c r="J257" s="42" t="str">
        <x:v>Yes. Clean mounted Finder capture shows white background, readable dark filenames, mascot, dark instruction and arrow, with app and Applications targets. Earlier simultaneous mounts displayed stale dark background; a clean remount resolved it. This does not verify unresolved app release gates.</x:v>
      </x:c>
      <x:c r="K257" s="42" t="str">
        <x:v>Pass</x:v>
      </x:c>
      <x:c r="L257" s="42" t="str"/>
    </x:row>
    <x:row r="258">
      <x:c r="A258" s="42"/>
      <x:c r="B258" s="42"/>
      <x:c r="C258" s="42"/>
      <x:c r="D258" s="42"/>
      <x:c r="E258" s="42"/>
      <x:c r="F258" s="42"/>
      <x:c r="G258" s="42"/>
      <x:c r="H258" s="42"/>
      <x:c r="I258" s="42"/>
      <x:c r="J258" s="42"/>
      <x:c r="K258" s="42"/>
      <x:c r="L258" s="42"/>
    </x:row>
    <x:row r="259">
      <x:c r="A259" s="42"/>
      <x:c r="B259" s="42"/>
      <x:c r="C259" s="42"/>
      <x:c r="D259" s="42"/>
      <x:c r="E259" s="42"/>
      <x:c r="F259" s="42"/>
      <x:c r="G259" s="42"/>
      <x:c r="H259" s="42"/>
      <x:c r="I259" s="42"/>
      <x:c r="J259" s="42"/>
      <x:c r="K259" s="42"/>
      <x:c r="L259" s="42"/>
    </x:row>
    <x:row r="260">
      <x:c r="A260" s="42"/>
      <x:c r="B260" s="42"/>
      <x:c r="C260" s="42"/>
      <x:c r="D260" s="42"/>
      <x:c r="E260" s="42"/>
      <x:c r="F260" s="42"/>
      <x:c r="G260" s="42"/>
      <x:c r="H260" s="42"/>
      <x:c r="I260" s="42"/>
      <x:c r="J260" s="42"/>
      <x:c r="K260" s="42"/>
      <x:c r="L260" s="42"/>
    </x:row>
    <x:row r="261">
      <x:c r="A261" s="42"/>
      <x:c r="B261" s="42"/>
      <x:c r="C261" s="42"/>
      <x:c r="D261" s="42"/>
      <x:c r="E261" s="42"/>
      <x:c r="F261" s="42"/>
      <x:c r="G261" s="42"/>
      <x:c r="H261" s="42"/>
      <x:c r="I261" s="42"/>
      <x:c r="J261" s="42"/>
      <x:c r="K261" s="42"/>
      <x:c r="L261" s="42"/>
    </x:row>
    <x:row r="262">
      <x:c r="A262" s="42"/>
      <x:c r="B262" s="42"/>
      <x:c r="C262" s="42"/>
      <x:c r="D262" s="42"/>
      <x:c r="E262" s="42"/>
      <x:c r="F262" s="42"/>
      <x:c r="G262" s="42"/>
      <x:c r="H262" s="42"/>
      <x:c r="I262" s="42"/>
      <x:c r="J262" s="42"/>
      <x:c r="K262" s="42"/>
      <x:c r="L262" s="42"/>
    </x:row>
    <x:row r="263">
      <x:c r="A263" s="42"/>
      <x:c r="B263" s="42"/>
      <x:c r="C263" s="42"/>
      <x:c r="D263" s="42"/>
      <x:c r="E263" s="42"/>
      <x:c r="F263" s="42"/>
      <x:c r="G263" s="42"/>
      <x:c r="H263" s="42"/>
      <x:c r="I263" s="42"/>
      <x:c r="J263" s="42"/>
      <x:c r="K263" s="42"/>
      <x:c r="L263" s="42"/>
    </x:row>
    <x:row r="264">
      <x:c r="A264" s="42"/>
      <x:c r="B264" s="42"/>
      <x:c r="C264" s="42"/>
      <x:c r="D264" s="42"/>
      <x:c r="E264" s="42"/>
      <x:c r="F264" s="42"/>
      <x:c r="G264" s="42"/>
      <x:c r="H264" s="42"/>
      <x:c r="I264" s="42"/>
      <x:c r="J264" s="42"/>
      <x:c r="K264" s="42"/>
      <x:c r="L264" s="42"/>
    </x:row>
    <x:row r="265">
      <x:c r="A265" s="42"/>
      <x:c r="B265" s="42"/>
      <x:c r="C265" s="42"/>
      <x:c r="D265" s="42"/>
      <x:c r="E265" s="42"/>
      <x:c r="F265" s="42"/>
      <x:c r="G265" s="42"/>
      <x:c r="H265" s="42"/>
      <x:c r="I265" s="42"/>
      <x:c r="J265" s="42"/>
      <x:c r="K265" s="42"/>
      <x:c r="L265" s="42"/>
    </x:row>
    <x:row r="266">
      <x:c r="A266" s="42"/>
      <x:c r="B266" s="42"/>
      <x:c r="C266" s="42"/>
      <x:c r="D266" s="42"/>
      <x:c r="E266" s="42"/>
      <x:c r="F266" s="42"/>
      <x:c r="G266" s="42"/>
      <x:c r="H266" s="42"/>
      <x:c r="I266" s="42"/>
      <x:c r="J266" s="42"/>
      <x:c r="K266" s="42"/>
      <x:c r="L266" s="42"/>
    </x:row>
    <x:row r="267">
      <x:c r="A267" s="42"/>
      <x:c r="B267" s="42"/>
      <x:c r="C267" s="42"/>
      <x:c r="D267" s="42"/>
      <x:c r="E267" s="42"/>
      <x:c r="F267" s="42"/>
      <x:c r="G267" s="42"/>
      <x:c r="H267" s="42"/>
      <x:c r="I267" s="42"/>
      <x:c r="J267" s="42"/>
      <x:c r="K267" s="42"/>
      <x:c r="L267" s="42"/>
    </x:row>
    <x:row r="268">
      <x:c r="A268" s="42"/>
      <x:c r="B268" s="42"/>
      <x:c r="C268" s="42"/>
      <x:c r="D268" s="42"/>
      <x:c r="E268" s="42"/>
      <x:c r="F268" s="42"/>
      <x:c r="G268" s="42"/>
      <x:c r="H268" s="42"/>
      <x:c r="I268" s="42"/>
      <x:c r="J268" s="42"/>
      <x:c r="K268" s="42"/>
      <x:c r="L268" s="42"/>
    </x:row>
    <x:row r="269">
      <x:c r="A269" s="42"/>
      <x:c r="B269" s="42"/>
      <x:c r="C269" s="42"/>
      <x:c r="D269" s="42"/>
      <x:c r="E269" s="42"/>
      <x:c r="F269" s="42"/>
      <x:c r="G269" s="42"/>
      <x:c r="H269" s="42"/>
      <x:c r="I269" s="42"/>
      <x:c r="J269" s="42"/>
      <x:c r="K269" s="42"/>
      <x:c r="L269" s="42"/>
    </x:row>
    <x:row r="270">
      <x:c r="A270" s="42"/>
      <x:c r="B270" s="42"/>
      <x:c r="C270" s="42"/>
      <x:c r="D270" s="42"/>
      <x:c r="E270" s="42"/>
      <x:c r="F270" s="42"/>
      <x:c r="G270" s="42"/>
      <x:c r="H270" s="42"/>
      <x:c r="I270" s="42"/>
      <x:c r="J270" s="42"/>
      <x:c r="K270" s="42"/>
      <x:c r="L270" s="42"/>
    </x:row>
    <x:row r="271">
      <x:c r="A271" s="42"/>
      <x:c r="B271" s="42"/>
      <x:c r="C271" s="42"/>
      <x:c r="D271" s="42"/>
      <x:c r="E271" s="42"/>
      <x:c r="F271" s="42"/>
      <x:c r="G271" s="42"/>
      <x:c r="H271" s="42"/>
      <x:c r="I271" s="42"/>
      <x:c r="J271" s="42"/>
      <x:c r="K271" s="42"/>
      <x:c r="L271" s="42"/>
    </x:row>
    <x:row r="272">
      <x:c r="A272" s="42"/>
      <x:c r="B272" s="42"/>
      <x:c r="C272" s="42"/>
      <x:c r="D272" s="42"/>
      <x:c r="E272" s="42"/>
      <x:c r="F272" s="42"/>
      <x:c r="G272" s="42"/>
      <x:c r="H272" s="42"/>
      <x:c r="I272" s="42"/>
      <x:c r="J272" s="42"/>
      <x:c r="K272" s="42"/>
      <x:c r="L272" s="42"/>
    </x:row>
    <x:row r="273">
      <x:c r="A273" s="42"/>
      <x:c r="B273" s="42"/>
      <x:c r="C273" s="42"/>
      <x:c r="D273" s="42"/>
      <x:c r="E273" s="42"/>
      <x:c r="F273" s="42"/>
      <x:c r="G273" s="42"/>
      <x:c r="H273" s="42"/>
      <x:c r="I273" s="42"/>
      <x:c r="J273" s="42"/>
      <x:c r="K273" s="42"/>
      <x:c r="L273" s="42"/>
    </x:row>
    <x:row r="274">
      <x:c r="A274" s="42"/>
      <x:c r="B274" s="42"/>
      <x:c r="C274" s="42"/>
      <x:c r="D274" s="42"/>
      <x:c r="E274" s="42"/>
      <x:c r="F274" s="42"/>
      <x:c r="G274" s="42"/>
      <x:c r="H274" s="42"/>
      <x:c r="I274" s="42"/>
      <x:c r="J274" s="42"/>
      <x:c r="K274" s="42"/>
      <x:c r="L274" s="42"/>
    </x:row>
    <x:row r="275">
      <x:c r="A275" s="42"/>
      <x:c r="B275" s="42"/>
      <x:c r="C275" s="42"/>
      <x:c r="D275" s="42"/>
      <x:c r="E275" s="42"/>
      <x:c r="F275" s="42"/>
      <x:c r="G275" s="42"/>
      <x:c r="H275" s="42"/>
      <x:c r="I275" s="42"/>
      <x:c r="J275" s="42"/>
      <x:c r="K275" s="42"/>
      <x:c r="L275" s="42"/>
    </x:row>
    <x:row r="276">
      <x:c r="A276" s="42"/>
      <x:c r="B276" s="42"/>
      <x:c r="C276" s="42"/>
      <x:c r="D276" s="42"/>
      <x:c r="E276" s="42"/>
      <x:c r="F276" s="42"/>
      <x:c r="G276" s="42"/>
      <x:c r="H276" s="42"/>
      <x:c r="I276" s="42"/>
      <x:c r="J276" s="42"/>
      <x:c r="K276" s="42"/>
      <x:c r="L276" s="42"/>
    </x:row>
    <x:row r="277">
      <x:c r="A277" s="42"/>
      <x:c r="B277" s="42"/>
      <x:c r="C277" s="42"/>
      <x:c r="D277" s="42"/>
      <x:c r="E277" s="42"/>
      <x:c r="F277" s="42"/>
      <x:c r="G277" s="42"/>
      <x:c r="H277" s="42"/>
      <x:c r="I277" s="42"/>
      <x:c r="J277" s="42"/>
      <x:c r="K277" s="42"/>
      <x:c r="L277" s="42"/>
    </x:row>
    <x:row r="278">
      <x:c r="A278" s="42"/>
      <x:c r="B278" s="42"/>
      <x:c r="C278" s="42"/>
      <x:c r="D278" s="42"/>
      <x:c r="E278" s="42"/>
      <x:c r="F278" s="42"/>
      <x:c r="G278" s="42"/>
      <x:c r="H278" s="42"/>
      <x:c r="I278" s="42"/>
      <x:c r="J278" s="42"/>
      <x:c r="K278" s="42"/>
      <x:c r="L278" s="42"/>
    </x:row>
    <x:row r="279">
      <x:c r="A279" s="42"/>
      <x:c r="B279" s="42"/>
      <x:c r="C279" s="42"/>
      <x:c r="D279" s="42"/>
      <x:c r="E279" s="42"/>
      <x:c r="F279" s="42"/>
      <x:c r="G279" s="42"/>
      <x:c r="H279" s="42"/>
      <x:c r="I279" s="42"/>
      <x:c r="J279" s="42"/>
      <x:c r="K279" s="42"/>
      <x:c r="L279" s="42"/>
    </x:row>
    <x:row r="280">
      <x:c r="A280" s="42"/>
      <x:c r="B280" s="42"/>
      <x:c r="C280" s="42"/>
      <x:c r="D280" s="42"/>
      <x:c r="E280" s="42"/>
      <x:c r="F280" s="42"/>
      <x:c r="G280" s="42"/>
      <x:c r="H280" s="42"/>
      <x:c r="I280" s="42"/>
      <x:c r="J280" s="42"/>
      <x:c r="K280" s="42"/>
      <x:c r="L280" s="42"/>
    </x:row>
    <x:row r="281">
      <x:c r="A281" s="42"/>
      <x:c r="B281" s="42"/>
      <x:c r="C281" s="42"/>
      <x:c r="D281" s="42"/>
      <x:c r="E281" s="42"/>
      <x:c r="F281" s="42"/>
      <x:c r="G281" s="42"/>
      <x:c r="H281" s="42"/>
      <x:c r="I281" s="42"/>
      <x:c r="J281" s="42"/>
      <x:c r="K281" s="42"/>
      <x:c r="L281" s="42"/>
    </x:row>
    <x:row r="282">
      <x:c r="A282" s="42"/>
      <x:c r="B282" s="42"/>
      <x:c r="C282" s="42"/>
      <x:c r="D282" s="42"/>
      <x:c r="E282" s="42"/>
      <x:c r="F282" s="42"/>
      <x:c r="G282" s="42"/>
      <x:c r="H282" s="42"/>
      <x:c r="I282" s="42"/>
      <x:c r="J282" s="42"/>
      <x:c r="K282" s="42"/>
      <x:c r="L282" s="42"/>
    </x:row>
    <x:row r="283">
      <x:c r="A283" s="42"/>
      <x:c r="B283" s="42"/>
      <x:c r="C283" s="42"/>
      <x:c r="D283" s="42"/>
      <x:c r="E283" s="42"/>
      <x:c r="F283" s="42"/>
      <x:c r="G283" s="42"/>
      <x:c r="H283" s="42"/>
      <x:c r="I283" s="42"/>
      <x:c r="J283" s="42"/>
      <x:c r="K283" s="42"/>
      <x:c r="L283" s="42"/>
    </x:row>
    <x:row r="284">
      <x:c r="A284" s="42"/>
      <x:c r="B284" s="42"/>
      <x:c r="C284" s="42"/>
      <x:c r="D284" s="42"/>
      <x:c r="E284" s="42"/>
      <x:c r="F284" s="42"/>
      <x:c r="G284" s="42"/>
      <x:c r="H284" s="42"/>
      <x:c r="I284" s="42"/>
      <x:c r="J284" s="42"/>
      <x:c r="K284" s="42"/>
      <x:c r="L284" s="42"/>
    </x:row>
    <x:row r="285">
      <x:c r="A285" s="42"/>
      <x:c r="B285" s="42"/>
      <x:c r="C285" s="42"/>
      <x:c r="D285" s="42"/>
      <x:c r="E285" s="42"/>
      <x:c r="F285" s="42"/>
      <x:c r="G285" s="42"/>
      <x:c r="H285" s="42"/>
      <x:c r="I285" s="42"/>
      <x:c r="J285" s="42"/>
      <x:c r="K285" s="42"/>
      <x:c r="L285" s="42"/>
    </x:row>
    <x:row r="286">
      <x:c r="A286" s="42"/>
      <x:c r="B286" s="42"/>
      <x:c r="C286" s="42"/>
      <x:c r="D286" s="42"/>
      <x:c r="E286" s="42"/>
      <x:c r="F286" s="42"/>
      <x:c r="G286" s="42"/>
      <x:c r="H286" s="42"/>
      <x:c r="I286" s="42"/>
      <x:c r="J286" s="42"/>
      <x:c r="K286" s="42"/>
      <x:c r="L286" s="42"/>
    </x:row>
    <x:row r="287">
      <x:c r="A287" s="42"/>
      <x:c r="B287" s="42"/>
      <x:c r="C287" s="42"/>
      <x:c r="D287" s="42"/>
      <x:c r="E287" s="42"/>
      <x:c r="F287" s="42"/>
      <x:c r="G287" s="42"/>
      <x:c r="H287" s="42"/>
      <x:c r="I287" s="42"/>
      <x:c r="J287" s="42"/>
      <x:c r="K287" s="42"/>
      <x:c r="L287" s="42"/>
    </x:row>
    <x:row r="288">
      <x:c r="A288" s="42"/>
      <x:c r="B288" s="42"/>
      <x:c r="C288" s="42"/>
      <x:c r="D288" s="42"/>
      <x:c r="E288" s="42"/>
      <x:c r="F288" s="42"/>
      <x:c r="G288" s="42"/>
      <x:c r="H288" s="42"/>
      <x:c r="I288" s="42"/>
      <x:c r="J288" s="42"/>
      <x:c r="K288" s="42"/>
      <x:c r="L288" s="42"/>
    </x:row>
    <x:row r="289">
      <x:c r="A289" s="42"/>
      <x:c r="B289" s="42"/>
      <x:c r="C289" s="42"/>
      <x:c r="D289" s="42"/>
      <x:c r="E289" s="42"/>
      <x:c r="F289" s="42"/>
      <x:c r="G289" s="42"/>
      <x:c r="H289" s="42"/>
      <x:c r="I289" s="42"/>
      <x:c r="J289" s="42"/>
      <x:c r="K289" s="42"/>
      <x:c r="L289" s="42"/>
    </x:row>
    <x:row r="290">
      <x:c r="A290" s="42"/>
      <x:c r="B290" s="42"/>
      <x:c r="C290" s="42"/>
      <x:c r="D290" s="42"/>
      <x:c r="E290" s="42"/>
      <x:c r="F290" s="42"/>
      <x:c r="G290" s="42"/>
      <x:c r="H290" s="42"/>
      <x:c r="I290" s="42"/>
      <x:c r="J290" s="42"/>
      <x:c r="K290" s="42"/>
      <x:c r="L290" s="42"/>
    </x:row>
    <x:row r="291">
      <x:c r="A291" s="42"/>
      <x:c r="B291" s="42"/>
      <x:c r="C291" s="42"/>
      <x:c r="D291" s="42"/>
      <x:c r="E291" s="42"/>
      <x:c r="F291" s="42"/>
      <x:c r="G291" s="42"/>
      <x:c r="H291" s="42"/>
      <x:c r="I291" s="42"/>
      <x:c r="J291" s="42"/>
      <x:c r="K291" s="42"/>
      <x:c r="L291" s="42"/>
    </x:row>
    <x:row r="292">
      <x:c r="A292" s="42"/>
      <x:c r="B292" s="42"/>
      <x:c r="C292" s="42"/>
      <x:c r="D292" s="42"/>
      <x:c r="E292" s="42"/>
      <x:c r="F292" s="42"/>
      <x:c r="G292" s="42"/>
      <x:c r="H292" s="42"/>
      <x:c r="I292" s="42"/>
      <x:c r="J292" s="42"/>
      <x:c r="K292" s="42"/>
      <x:c r="L292" s="42"/>
    </x:row>
    <x:row r="293">
      <x:c r="A293" s="42"/>
      <x:c r="B293" s="42"/>
      <x:c r="C293" s="42"/>
      <x:c r="D293" s="42"/>
      <x:c r="E293" s="42"/>
      <x:c r="F293" s="42"/>
      <x:c r="G293" s="42"/>
      <x:c r="H293" s="42"/>
      <x:c r="I293" s="42"/>
      <x:c r="J293" s="42"/>
      <x:c r="K293" s="42"/>
      <x:c r="L293" s="42"/>
    </x:row>
    <x:row r="294">
      <x:c r="A294" s="42"/>
      <x:c r="B294" s="42"/>
      <x:c r="C294" s="42"/>
      <x:c r="D294" s="42"/>
      <x:c r="E294" s="42"/>
      <x:c r="F294" s="42"/>
      <x:c r="G294" s="42"/>
      <x:c r="H294" s="42"/>
      <x:c r="I294" s="42"/>
      <x:c r="J294" s="42"/>
      <x:c r="K294" s="42"/>
      <x:c r="L294" s="42"/>
    </x:row>
    <x:row r="295">
      <x:c r="A295" s="42"/>
      <x:c r="B295" s="42"/>
      <x:c r="C295" s="42"/>
      <x:c r="D295" s="42"/>
      <x:c r="E295" s="42"/>
      <x:c r="F295" s="42"/>
      <x:c r="G295" s="42"/>
      <x:c r="H295" s="42"/>
      <x:c r="I295" s="42"/>
      <x:c r="J295" s="42"/>
      <x:c r="K295" s="42"/>
      <x:c r="L295" s="42"/>
    </x:row>
    <x:row r="296">
      <x:c r="A296" s="42"/>
      <x:c r="B296" s="42"/>
      <x:c r="C296" s="42"/>
      <x:c r="D296" s="42"/>
      <x:c r="E296" s="42"/>
      <x:c r="F296" s="42"/>
      <x:c r="G296" s="42"/>
      <x:c r="H296" s="42"/>
      <x:c r="I296" s="42"/>
      <x:c r="J296" s="42"/>
      <x:c r="K296" s="42"/>
      <x:c r="L296" s="42"/>
    </x:row>
    <x:row r="297">
      <x:c r="A297" s="42"/>
      <x:c r="B297" s="42"/>
      <x:c r="C297" s="42"/>
      <x:c r="D297" s="42"/>
      <x:c r="E297" s="42"/>
      <x:c r="F297" s="42"/>
      <x:c r="G297" s="42"/>
      <x:c r="H297" s="42"/>
      <x:c r="I297" s="42"/>
      <x:c r="J297" s="42"/>
      <x:c r="K297" s="42"/>
      <x:c r="L297" s="42"/>
    </x:row>
    <x:row r="298">
      <x:c r="A298" s="42"/>
      <x:c r="B298" s="42"/>
      <x:c r="C298" s="42"/>
      <x:c r="D298" s="42"/>
      <x:c r="E298" s="42"/>
      <x:c r="F298" s="42"/>
      <x:c r="G298" s="42"/>
      <x:c r="H298" s="42"/>
      <x:c r="I298" s="42"/>
      <x:c r="J298" s="42"/>
      <x:c r="K298" s="42"/>
      <x:c r="L298" s="42"/>
    </x:row>
    <x:row r="299">
      <x:c r="A299" s="42"/>
      <x:c r="B299" s="42"/>
      <x:c r="C299" s="42"/>
      <x:c r="D299" s="42"/>
      <x:c r="E299" s="42"/>
      <x:c r="F299" s="42"/>
      <x:c r="G299" s="42"/>
      <x:c r="H299" s="42"/>
      <x:c r="I299" s="42"/>
      <x:c r="J299" s="42"/>
      <x:c r="K299" s="42"/>
      <x:c r="L299" s="42"/>
    </x:row>
    <x:row r="300">
      <x:c r="A300" s="43"/>
      <x:c r="B300" s="43"/>
      <x:c r="C300" s="43"/>
      <x:c r="D300" s="43"/>
      <x:c r="E300" s="43"/>
      <x:c r="F300" s="43"/>
      <x:c r="G300" s="43"/>
      <x:c r="H300" s="43"/>
      <x:c r="I300" s="43"/>
      <x:c r="J300" s="43"/>
      <x:c r="K300" s="43"/>
      <x:c r="L300" s="43"/>
    </x:row>
  </x:sheetData>
  <x:mergeCells>
    <x:mergeCell ref="A1:L1"/>
    <x:mergeCell ref="A3:L3"/>
  </x:mergeCells>
  <x:conditionalFormatting sqref="K6:K300">
    <x:cfRule type="containsText" dxfId="15" priority="1" operator="containsText" text="Verified"/>
    <x:cfRule type="containsText" dxfId="16" priority="2" operator="containsText" text="Pass"/>
    <x:cfRule type="containsText" dxfId="17" priority="3" operator="containsText" text="Fail"/>
    <x:cfRule type="containsText" dxfId="18" priority="4" operator="containsText" text="Blocked"/>
  </x:conditionalFormatting>
  <x:dataValidations count="2">
    <x:dataValidation type="list" sqref="B6:B300">
      <x:formula1>"Screenshot,Recording,Log,Other"</x:formula1>
    </x:dataValidation>
    <x:dataValidation type="list" sqref="K6:K300">
      <x:formula1>"Not run,Pass,Fail,Blocked,Not applicable"</x:formula1>
    </x:dataValidation>
  </x:dataValidations>
  <x:pageMargins left="0.7" right="0.7" top="0.75" bottom="0.75" header="0.3" footer="0.3"/>
</x:worksheet>
</file>